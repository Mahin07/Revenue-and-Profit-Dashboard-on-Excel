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drawings/drawing13.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0.xml" ContentType="application/vnd.openxmlformats-officedocument.spreadsheetml.pivotTable+xml"/>
  <Override PartName="/xl/drawings/drawing14.xml" ContentType="application/vnd.openxmlformats-officedocument.drawing+xml"/>
  <Override PartName="/xl/charts/chartEx2.xml" ContentType="application/vnd.ms-office.chartex+xml"/>
  <Override PartName="/xl/charts/style24.xml" ContentType="application/vnd.ms-office.chartstyle+xml"/>
  <Override PartName="/xl/charts/colors24.xml" ContentType="application/vnd.ms-office.chartcolorstyle+xml"/>
  <Override PartName="/xl/pivotTables/pivotTable11.xml" ContentType="application/vnd.openxmlformats-officedocument.spreadsheetml.pivotTable+xml"/>
  <Override PartName="/xl/drawings/drawing15.xml" ContentType="application/vnd.openxmlformats-officedocument.drawing+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2.xml" ContentType="application/vnd.openxmlformats-officedocument.spreadsheetml.pivotTable+xml"/>
  <Override PartName="/xl/drawings/drawing16.xml" ContentType="application/vnd.openxmlformats-officedocument.drawing+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3.xml" ContentType="application/vnd.openxmlformats-officedocument.spreadsheetml.pivotTable+xml"/>
  <Override PartName="/xl/drawings/drawing17.xml" ContentType="application/vnd.openxmlformats-officedocument.drawing+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C:\Users\Mahin\Desktop\"/>
    </mc:Choice>
  </mc:AlternateContent>
  <xr:revisionPtr revIDLastSave="0" documentId="13_ncr:1_{B2FEFDB5-0FFC-4EEA-95F7-307469B2E07E}" xr6:coauthVersionLast="47" xr6:coauthVersionMax="47" xr10:uidLastSave="{00000000-0000-0000-0000-000000000000}"/>
  <bookViews>
    <workbookView xWindow="-120" yWindow="-120" windowWidth="29040" windowHeight="16440" tabRatio="875" activeTab="1" xr2:uid="{3B670F39-4AE8-4F7F-A770-67488E5BFFD0}"/>
  </bookViews>
  <sheets>
    <sheet name="Rev Dashboard" sheetId="13" r:id="rId1"/>
    <sheet name="Profit Dashboard" sheetId="29" r:id="rId2"/>
    <sheet name="Advanced formulas &amp; Slicers" sheetId="7" r:id="rId3"/>
    <sheet name="Dynamic drop down &amp; LOOOKUPS" sheetId="12" r:id="rId4"/>
    <sheet name="VBA" sheetId="10" r:id="rId5"/>
    <sheet name="Pivot Table" sheetId="2" r:id="rId6"/>
    <sheet name="Charts with Slicers" sheetId="3" r:id="rId7"/>
    <sheet name="Conditional Formating" sheetId="14" r:id="rId8"/>
    <sheet name="Table 1" sheetId="1" r:id="rId9"/>
    <sheet name="Dashboard Data" sheetId="16" r:id="rId10"/>
    <sheet name="Year-wise Revenue" sheetId="20" r:id="rId11"/>
    <sheet name="Year-wise Revenue &amp; Cost" sheetId="21" r:id="rId12"/>
    <sheet name="Revenue by Divisions" sheetId="22" r:id="rId13"/>
    <sheet name="Revenue by Products" sheetId="23" r:id="rId14"/>
    <sheet name="Year-wise Divisional Revenue" sheetId="24" r:id="rId15"/>
    <sheet name="Division-wise yearly Revenue" sheetId="25" r:id="rId16"/>
    <sheet name="Revenue by Payment Method" sheetId="26" r:id="rId17"/>
    <sheet name="Profit By Year" sheetId="27" r:id="rId18"/>
    <sheet name="Profit by Division" sheetId="28" r:id="rId19"/>
    <sheet name="Year-wise Revenue &amp; Profit" sheetId="30" r:id="rId20"/>
    <sheet name="Profit by Order Method " sheetId="31" r:id="rId21"/>
    <sheet name="Profit by Product" sheetId="33" r:id="rId22"/>
    <sheet name="Sheet4" sheetId="4" state="hidden" r:id="rId23"/>
  </sheets>
  <definedNames>
    <definedName name="_xlchart.v5.0" hidden="1">'Profit by Division'!$A$3</definedName>
    <definedName name="_xlchart.v5.1" hidden="1">'Profit by Division'!$A$4:$A$11</definedName>
    <definedName name="_xlchart.v5.2" hidden="1">'Profit by Division'!$B$3</definedName>
    <definedName name="_xlchart.v5.3" hidden="1">'Profit by Division'!$B$4:$B$11</definedName>
    <definedName name="_xlchart.v5.4" hidden="1">'Profit by Division'!$A$3</definedName>
    <definedName name="_xlchart.v5.5" hidden="1">'Profit by Division'!$A$4:$A$11</definedName>
    <definedName name="_xlchart.v5.6" hidden="1">'Profit by Division'!$B$3</definedName>
    <definedName name="_xlchart.v5.7" hidden="1">'Profit by Division'!$B$4:$B$11</definedName>
    <definedName name="Slicer_Car">#N/A</definedName>
    <definedName name="Slicer_Division">#N/A</definedName>
    <definedName name="Slicer_Division1">#N/A</definedName>
    <definedName name="Slicer_Order_Method">#N/A</definedName>
    <definedName name="Slicer_Order_Method1">#N/A</definedName>
    <definedName name="Slicer_Payment_Method">#N/A</definedName>
    <definedName name="Slicer_Product_Type">#N/A</definedName>
    <definedName name="Slicer_Product_Type1">#N/A</definedName>
    <definedName name="Slicer_Q3">#N/A</definedName>
    <definedName name="Slicer_Sales_Rep">#N/A</definedName>
    <definedName name="Slicer_Type">#N/A</definedName>
    <definedName name="Slicer_Year">#N/A</definedName>
    <definedName name="Slicer_Year1">#N/A</definedName>
    <definedName name="Slicer_Year2">#N/A</definedName>
  </definedNames>
  <calcPr calcId="191029"/>
  <pivotCaches>
    <pivotCache cacheId="2" r:id="rId24"/>
    <pivotCache cacheId="3"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7"/>
        <x14:slicerCache r:id="rId38"/>
        <x14:slicerCache r:id="rId3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2" l="1"/>
  <c r="J3" i="12"/>
  <c r="S4" i="7" a="1"/>
  <c r="S4" i="7" s="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2" i="7"/>
  <c r="S2"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<sst xmlns="http://schemas.openxmlformats.org/spreadsheetml/2006/main" count="2635" uniqueCount="208">
  <si>
    <t>Year</t>
  </si>
  <si>
    <t>Car</t>
  </si>
  <si>
    <t>Type</t>
  </si>
  <si>
    <t>Quantity</t>
  </si>
  <si>
    <t>Price</t>
  </si>
  <si>
    <t>Suzuki</t>
  </si>
  <si>
    <t>Coupe</t>
  </si>
  <si>
    <t>Hyundai</t>
  </si>
  <si>
    <t>Hatch-Back</t>
  </si>
  <si>
    <t>Nissan</t>
  </si>
  <si>
    <t>Cruiser</t>
  </si>
  <si>
    <t>BMW</t>
  </si>
  <si>
    <t>GT</t>
  </si>
  <si>
    <t>Ford</t>
  </si>
  <si>
    <t>SUV</t>
  </si>
  <si>
    <t>Ferrari</t>
  </si>
  <si>
    <t>Sports</t>
  </si>
  <si>
    <t>Mercedes</t>
  </si>
  <si>
    <t>Lamborghini</t>
  </si>
  <si>
    <t>Row Labels</t>
  </si>
  <si>
    <t>Grand Total</t>
  </si>
  <si>
    <t>Count of Type</t>
  </si>
  <si>
    <t>Sum of Quantity</t>
  </si>
  <si>
    <t>Sum of Price</t>
  </si>
  <si>
    <t>Customer ID</t>
  </si>
  <si>
    <t>Purchase date</t>
  </si>
  <si>
    <t>Product ID</t>
  </si>
  <si>
    <t>Unit Price</t>
  </si>
  <si>
    <t>Total Price</t>
  </si>
  <si>
    <t>Sales Rep</t>
  </si>
  <si>
    <t>Payment Method</t>
  </si>
  <si>
    <t>C001</t>
  </si>
  <si>
    <t>P101</t>
  </si>
  <si>
    <t>John Smith</t>
  </si>
  <si>
    <t>Credit Card</t>
  </si>
  <si>
    <t>C002</t>
  </si>
  <si>
    <t>P103</t>
  </si>
  <si>
    <t>Emily Davis</t>
  </si>
  <si>
    <t>PayPal</t>
  </si>
  <si>
    <t>C003</t>
  </si>
  <si>
    <t>P104</t>
  </si>
  <si>
    <t>David Lee</t>
  </si>
  <si>
    <t>Debit Card</t>
  </si>
  <si>
    <t>C004</t>
  </si>
  <si>
    <t>Susan Miller</t>
  </si>
  <si>
    <t>Cash</t>
  </si>
  <si>
    <t>C005</t>
  </si>
  <si>
    <t>P102</t>
  </si>
  <si>
    <t>C006</t>
  </si>
  <si>
    <t>P105</t>
  </si>
  <si>
    <t>C007</t>
  </si>
  <si>
    <t>P106</t>
  </si>
  <si>
    <t>C008</t>
  </si>
  <si>
    <t>C009</t>
  </si>
  <si>
    <t>C010</t>
  </si>
  <si>
    <t>P107</t>
  </si>
  <si>
    <t>C011</t>
  </si>
  <si>
    <t>P108</t>
  </si>
  <si>
    <t>C012</t>
  </si>
  <si>
    <t>C013</t>
  </si>
  <si>
    <t>P109</t>
  </si>
  <si>
    <t>C014</t>
  </si>
  <si>
    <t>P110</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</si>
  <si>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</si>
  <si>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</si>
  <si>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</si>
  <si>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</si>
  <si>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</si>
  <si>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</si>
  <si>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</si>
  <si>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</si>
  <si>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</si>
  <si>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</si>
  <si>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</si>
  <si>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</si>
  <si>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</si>
  <si>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</si>
  <si>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</si>
  <si>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</si>
  <si>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</si>
  <si>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</si>
  <si>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</si>
  <si>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</si>
  <si>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</si>
  <si>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</si>
  <si>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</si>
  <si>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</si>
  <si>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</si>
  <si>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</si>
  <si>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Question</t>
  </si>
  <si>
    <t>Answer</t>
  </si>
  <si>
    <t>Metrics</t>
  </si>
  <si>
    <t>Advanced excel formulas</t>
  </si>
  <si>
    <t>Write a formula to calculate the number of unique customers who purchased products with a Product ID greater than 105, less than 110, and with purchase date after 10 th March 2024</t>
  </si>
  <si>
    <t>Quantity for discount: Cash</t>
  </si>
  <si>
    <t>Quantity for discount: Other</t>
  </si>
  <si>
    <t>Smith</t>
  </si>
  <si>
    <t>Davis</t>
  </si>
  <si>
    <t>Lee</t>
  </si>
  <si>
    <t>Miller</t>
  </si>
  <si>
    <t>Data table 2</t>
  </si>
  <si>
    <t>Check Column I</t>
  </si>
  <si>
    <t>Write a formula to calculate the total quantity sold by Miller in first 10 days of March 2024 using the payment method 'Cash'</t>
  </si>
  <si>
    <t>Name</t>
  </si>
  <si>
    <t>Blood Group</t>
  </si>
  <si>
    <t>Age</t>
  </si>
  <si>
    <t>Mahin</t>
  </si>
  <si>
    <t>O+</t>
  </si>
  <si>
    <t>Number</t>
  </si>
  <si>
    <t>Nabil</t>
  </si>
  <si>
    <t>B+</t>
  </si>
  <si>
    <t>Q3(Eligibility)</t>
  </si>
  <si>
    <t>Product</t>
  </si>
  <si>
    <t>Purchase Date</t>
  </si>
  <si>
    <t>Amount</t>
  </si>
  <si>
    <t>Laptop</t>
  </si>
  <si>
    <t>Phone</t>
  </si>
  <si>
    <t>Monitor</t>
  </si>
  <si>
    <t>Keyboard</t>
  </si>
  <si>
    <t>Tablet</t>
  </si>
  <si>
    <t>Ella</t>
  </si>
  <si>
    <t>Alice</t>
  </si>
  <si>
    <t>Bob</t>
  </si>
  <si>
    <t>Clara</t>
  </si>
  <si>
    <t>David</t>
  </si>
  <si>
    <t>Frank</t>
  </si>
  <si>
    <t>Grace</t>
  </si>
  <si>
    <t>Harry</t>
  </si>
  <si>
    <t>Ivy</t>
  </si>
  <si>
    <t>Jake</t>
  </si>
  <si>
    <t>Kate</t>
  </si>
  <si>
    <t>Liam</t>
  </si>
  <si>
    <t>Maya</t>
  </si>
  <si>
    <t>Noah</t>
  </si>
  <si>
    <t>Olivia</t>
  </si>
  <si>
    <t>Paul</t>
  </si>
  <si>
    <t>Quinn</t>
  </si>
  <si>
    <t>Rita</t>
  </si>
  <si>
    <t>Steve</t>
  </si>
  <si>
    <t>Tina</t>
  </si>
  <si>
    <t>Uma</t>
  </si>
  <si>
    <t>Victor</t>
  </si>
  <si>
    <t>Wendy</t>
  </si>
  <si>
    <t>Xavier</t>
  </si>
  <si>
    <t>Yara</t>
  </si>
  <si>
    <t>Zack</t>
  </si>
  <si>
    <t>Anna</t>
  </si>
  <si>
    <t>Brian</t>
  </si>
  <si>
    <t>Cara</t>
  </si>
  <si>
    <t>Dean</t>
  </si>
  <si>
    <t>Eva</t>
  </si>
  <si>
    <t>Finn</t>
  </si>
  <si>
    <t>Gina</t>
  </si>
  <si>
    <t>Hank</t>
  </si>
  <si>
    <t>Irene</t>
  </si>
  <si>
    <t>Josh</t>
  </si>
  <si>
    <t>Karen</t>
  </si>
  <si>
    <t>Leo</t>
  </si>
  <si>
    <t>Mila</t>
  </si>
  <si>
    <t>Nate</t>
  </si>
  <si>
    <t>VLOOKUP</t>
  </si>
  <si>
    <t>XLOOKUP</t>
  </si>
  <si>
    <t>Team Name</t>
  </si>
  <si>
    <t>Alpha Squad</t>
  </si>
  <si>
    <t>Bravo Team</t>
  </si>
  <si>
    <t>Charlie Crew</t>
  </si>
  <si>
    <t>Delta Force</t>
  </si>
  <si>
    <t>Echo Unit</t>
  </si>
  <si>
    <t>Falcon Group</t>
  </si>
  <si>
    <t>Gamma Gang</t>
  </si>
  <si>
    <t>Hawk Division</t>
  </si>
  <si>
    <t>Inferno Team</t>
  </si>
  <si>
    <t>Jaguar Pack</t>
  </si>
  <si>
    <t>Kilo Kings</t>
  </si>
  <si>
    <t>Lion Pride</t>
  </si>
  <si>
    <t>Maverick Mob</t>
  </si>
  <si>
    <t>Nova Strike</t>
  </si>
  <si>
    <t>Omega Force</t>
  </si>
  <si>
    <t>Progress</t>
  </si>
  <si>
    <t>Profit (BDT Cr)</t>
  </si>
  <si>
    <t>Revenue (BDT Cr)</t>
  </si>
  <si>
    <t>Smartphones</t>
  </si>
  <si>
    <t>TVs</t>
  </si>
  <si>
    <t>Division</t>
  </si>
  <si>
    <t>Product Type</t>
  </si>
  <si>
    <t>Order Method</t>
  </si>
  <si>
    <t>Cost (BDT Cr)</t>
  </si>
  <si>
    <t>Dhaka</t>
  </si>
  <si>
    <t>Online</t>
  </si>
  <si>
    <t>Chattogram</t>
  </si>
  <si>
    <t>Offline</t>
  </si>
  <si>
    <t>Khulna</t>
  </si>
  <si>
    <t>Barisal</t>
  </si>
  <si>
    <t>Rajshahi</t>
  </si>
  <si>
    <t>Rangpur</t>
  </si>
  <si>
    <t>Mymensingh</t>
  </si>
  <si>
    <t>Sylhet</t>
  </si>
  <si>
    <t>Refrigerators</t>
  </si>
  <si>
    <t>Washing Machines</t>
  </si>
  <si>
    <t>ACs</t>
  </si>
  <si>
    <t>Monitors</t>
  </si>
  <si>
    <t>Tablets</t>
  </si>
  <si>
    <t>Wearables</t>
  </si>
  <si>
    <t>Sum of Revenue (BDT Cr)</t>
  </si>
  <si>
    <t>Sum of Cost (BDT Cr)</t>
  </si>
  <si>
    <t>Column Labels</t>
  </si>
  <si>
    <t>Sum of Profit (BDT Cr)</t>
  </si>
  <si>
    <t>Customers can avail discount on their order if they purchase the minimum quantity of certain products, criterias are given in Data Table2. Print Yes or No in  column I to indicate theiir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</si>
</sst>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rgb="FF000000"/>
      <name val="Arial"/>
      <family val="2"/>
    </font>
    <font>
      <b/>
      <sz val="11"/>
      <color theme="0"/>
      <name val="Aptos Narrow"/>
      <family val="2"/>
      <scheme val="minor"/>
    </font>
    <font>
      <b/>
      <sz val="11"/>
      <color theme="1"/>
      <name val="Aptos Narrow"/>
      <family val="2"/>
      <scheme val="minor"/>
    </font>
    <font>
      <sz val="11"/>
      <color theme="0"/>
      <name val="Aptos Narrow"/>
      <family val="2"/>
      <scheme val="minor"/>
    </font>
    <font>
      <sz val="10"/>
      <color rgb="FF242424"/>
      <name val="Open Sans"/>
      <family val="2"/>
    </font>
    <font>
      <sz val="10"/>
      <color rgb="FF434343"/>
      <name val="Open Sans"/>
      <family val="2"/>
    </font>
    <font>
      <sz val="11"/>
      <color rgb="FF000000"/>
      <name val="Aptos Narrow"/>
      <family val="2"/>
    </font>
    <font>
      <b/>
      <sz val="11"/>
      <name val="Aptos Display"/>
      <family val="2"/>
      <scheme val="major"/>
    </font>
    <font>
      <sz val="11"/>
      <color theme="1"/>
      <name val="Aptos Display"/>
      <family val="2"/>
      <scheme val="major"/>
    </font>
    <font>
      <b/>
      <sz val="11"/>
      <color theme="0"/>
      <name val="Aptos Display"/>
      <family val="2"/>
      <scheme val="major"/>
    </font>
    <font>
      <b/>
      <sz val="1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9" tint="0.39997558519241921"/>
        <bgColor indexed="64"/>
      </patternFill>
    </fill>
  </fills>
  <borders count="11">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1" fillId="0" borderId="4" xfId="0" applyFont="1" applyBorder="1" applyAlignment="1">
      <alignment readingOrder="1"/>
    </xf>
    <xf numFmtId="0" fontId="1" fillId="0" borderId="5" xfId="0" applyFont="1" applyBorder="1" applyAlignment="1">
      <alignment readingOrder="1"/>
    </xf>
    <xf numFmtId="0" fontId="1" fillId="0" borderId="6" xfId="0" applyFont="1" applyBorder="1" applyAlignment="1">
      <alignment readingOrder="1"/>
    </xf>
    <xf numFmtId="0" fontId="1" fillId="0" borderId="7" xfId="0" applyFont="1" applyBorder="1" applyAlignment="1">
      <alignment readingOrder="1"/>
    </xf>
    <xf numFmtId="0" fontId="1" fillId="0" borderId="8" xfId="0" applyFont="1" applyBorder="1" applyAlignment="1">
      <alignment readingOrder="1"/>
    </xf>
    <xf numFmtId="0" fontId="1" fillId="0" borderId="9" xfId="0" applyFont="1" applyBorder="1" applyAlignment="1">
      <alignment readingOrder="1"/>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2" borderId="0" xfId="0" applyFill="1" applyAlignment="1">
      <alignment horizontal="center"/>
    </xf>
    <xf numFmtId="0" fontId="4" fillId="3" borderId="0" xfId="0" applyFont="1" applyFill="1" applyAlignment="1">
      <alignment horizontal="center"/>
    </xf>
    <xf numFmtId="0" fontId="0" fillId="0" borderId="0" xfId="0" applyAlignment="1">
      <alignment horizontal="center" wrapText="1"/>
    </xf>
    <xf numFmtId="0" fontId="6" fillId="0" borderId="0" xfId="0" applyFont="1" applyAlignment="1">
      <alignment vertical="top" wrapText="1"/>
    </xf>
    <xf numFmtId="0" fontId="0" fillId="0" borderId="0" xfId="0" applyAlignment="1">
      <alignment vertical="top" wrapText="1"/>
    </xf>
    <xf numFmtId="0" fontId="0" fillId="0" borderId="10" xfId="0" applyBorder="1" applyAlignment="1">
      <alignment horizontal="center"/>
    </xf>
    <xf numFmtId="0" fontId="0" fillId="0" borderId="10" xfId="0" applyBorder="1" applyAlignment="1">
      <alignment horizontal="center" wrapText="1"/>
    </xf>
    <xf numFmtId="0" fontId="0" fillId="0" borderId="0" xfId="0" applyAlignment="1">
      <alignment horizontal="center" vertical="center"/>
    </xf>
    <xf numFmtId="0" fontId="2" fillId="3" borderId="10" xfId="0" applyFont="1" applyFill="1" applyBorder="1" applyAlignment="1">
      <alignment horizontal="center"/>
    </xf>
    <xf numFmtId="0" fontId="2" fillId="3" borderId="0" xfId="0" applyFont="1" applyFill="1"/>
    <xf numFmtId="0" fontId="3" fillId="0" borderId="10" xfId="0" applyFont="1" applyBorder="1"/>
    <xf numFmtId="0" fontId="8" fillId="4" borderId="0" xfId="0" applyFont="1" applyFill="1" applyAlignment="1">
      <alignment horizontal="center" vertical="center"/>
    </xf>
    <xf numFmtId="0" fontId="8" fillId="4" borderId="0" xfId="0" applyFont="1" applyFill="1" applyAlignment="1">
      <alignment horizontal="left" vertical="center"/>
    </xf>
    <xf numFmtId="0" fontId="9" fillId="0" borderId="0" xfId="0" applyFont="1"/>
    <xf numFmtId="0" fontId="9" fillId="0" borderId="0" xfId="0" applyFont="1" applyAlignment="1">
      <alignment horizontal="center" vertical="center"/>
    </xf>
    <xf numFmtId="9" fontId="10" fillId="0" borderId="0" xfId="0" applyNumberFormat="1" applyFont="1" applyAlignment="1">
      <alignment horizontal="left" vertical="center"/>
    </xf>
    <xf numFmtId="0" fontId="10" fillId="0" borderId="0" xfId="0" applyFont="1" applyAlignment="1">
      <alignment horizontal="left" vertical="center"/>
    </xf>
    <xf numFmtId="0" fontId="11" fillId="0" borderId="0" xfId="0" applyFont="1"/>
    <xf numFmtId="0" fontId="0" fillId="0" borderId="0" xfId="0" pivotButton="1" applyAlignment="1">
      <alignment horizontal="right"/>
    </xf>
    <xf numFmtId="0" fontId="0" fillId="0" borderId="0" xfId="0" applyAlignment="1">
      <alignment horizontal="right"/>
    </xf>
    <xf numFmtId="0" fontId="0" fillId="0" borderId="10" xfId="0" applyBorder="1" applyAlignment="1">
      <alignment horizontal="center" vertical="center"/>
    </xf>
    <xf numFmtId="0" fontId="0" fillId="0" borderId="10" xfId="0" applyBorder="1" applyAlignment="1">
      <alignment horizontal="center" vertical="top" wrapText="1"/>
    </xf>
    <xf numFmtId="0" fontId="4" fillId="3" borderId="10" xfId="0" applyFont="1" applyFill="1" applyBorder="1" applyAlignment="1">
      <alignment horizontal="center"/>
    </xf>
    <xf numFmtId="0" fontId="6" fillId="0" borderId="10" xfId="0" applyFont="1" applyBorder="1" applyAlignment="1">
      <alignment horizontal="left" vertical="top" wrapText="1"/>
    </xf>
    <xf numFmtId="0" fontId="2" fillId="3" borderId="10" xfId="0" applyFont="1" applyFill="1" applyBorder="1" applyAlignment="1">
      <alignment horizontal="center"/>
    </xf>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0" fillId="0" borderId="10" xfId="0" applyBorder="1" applyAlignment="1">
      <alignment horizontal="left" vertical="center"/>
    </xf>
    <xf numFmtId="0" fontId="3" fillId="0" borderId="10" xfId="0" applyFont="1" applyBorder="1" applyAlignment="1">
      <alignment horizontal="left" vertical="center"/>
    </xf>
    <xf numFmtId="0" fontId="5" fillId="0" borderId="10" xfId="0" applyFont="1" applyBorder="1" applyAlignment="1">
      <alignment horizontal="left" wrapText="1"/>
    </xf>
    <xf numFmtId="0" fontId="0" fillId="0" borderId="0" xfId="0" applyAlignment="1">
      <alignment horizontal="center" vertical="center"/>
    </xf>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theme="9" tint="0.59996337778862885"/>
        </patternFill>
      </fill>
    </dxf>
    <dxf>
      <fill>
        <patternFill>
          <bgColor rgb="FFFF9900"/>
        </patternFill>
      </fill>
    </dxf>
    <dxf>
      <fill>
        <patternFill>
          <bgColor rgb="FFFF0000"/>
        </patternFill>
      </fill>
    </dxf>
    <dxf>
      <fill>
        <patternFill>
          <bgColor rgb="FFFF4343"/>
        </patternFill>
      </fill>
    </dxf>
    <dxf>
      <font>
        <color rgb="FF9C0006"/>
      </font>
      <fill>
        <patternFill>
          <bgColor rgb="FFFFC7CE"/>
        </patternFill>
      </fill>
    </dxf>
    <dxf>
      <alignment horizontal="right"/>
    </dxf>
    <dxf>
      <alignment horizontal="right"/>
    </dxf>
    <dxf>
      <alignment horizontal="righ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s>
  <tableStyles count="0" defaultTableStyle="TableStyleMedium2" defaultPivotStyle="PivotStyleLight16"/>
  <colors>
    <mruColors>
      <color rgb="FFFF9900"/>
      <color rgb="FFFFFFFF"/>
      <color rgb="FFFF434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microsoft.com/office/2007/relationships/slicerCache" Target="slicerCaches/slicerCache14.xml"/><Relationship Id="rId21" Type="http://schemas.openxmlformats.org/officeDocument/2006/relationships/worksheet" Target="worksheets/sheet21.xml"/><Relationship Id="rId34" Type="http://schemas.microsoft.com/office/2007/relationships/slicerCache" Target="slicerCaches/slicerCache9.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07/relationships/slicerCache" Target="slicerCaches/slicerCache7.xml"/><Relationship Id="rId37" Type="http://schemas.microsoft.com/office/2007/relationships/slicerCache" Target="slicerCaches/slicerCache1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36" Type="http://schemas.microsoft.com/office/2007/relationships/slicerCache" Target="slicerCaches/slicerCache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07/relationships/slicerCache" Target="slicerCaches/slicerCache8.xml"/><Relationship Id="rId38" Type="http://schemas.microsoft.com/office/2007/relationships/slicerCache" Target="slicerCaches/slicerCache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Revenue!PivotTable4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Year-wise</a:t>
            </a:r>
            <a:r>
              <a:rPr lang="en-US" baseline="0">
                <a:solidFill>
                  <a:schemeClr val="bg1"/>
                </a:solidFill>
              </a:rPr>
              <a:t>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Revenue'!$B$3</c:f>
              <c:strCache>
                <c:ptCount val="1"/>
                <c:pt idx="0">
                  <c:v>Total</c:v>
                </c:pt>
              </c:strCache>
            </c:strRef>
          </c:tx>
          <c:spPr>
            <a:solidFill>
              <a:schemeClr val="accent1"/>
            </a:solidFill>
            <a:ln>
              <a:noFill/>
            </a:ln>
            <a:effectLst/>
          </c:spPr>
          <c:invertIfNegative val="0"/>
          <c:cat>
            <c:strRef>
              <c:f>'Year-wise Revenue'!$A$4:$A$9</c:f>
              <c:strCache>
                <c:ptCount val="5"/>
                <c:pt idx="0">
                  <c:v>2020</c:v>
                </c:pt>
                <c:pt idx="1">
                  <c:v>2021</c:v>
                </c:pt>
                <c:pt idx="2">
                  <c:v>2022</c:v>
                </c:pt>
                <c:pt idx="3">
                  <c:v>2023</c:v>
                </c:pt>
                <c:pt idx="4">
                  <c:v>2024</c:v>
                </c:pt>
              </c:strCache>
            </c:strRef>
          </c:cat>
          <c:val>
            <c:numRef>
              <c:f>'Year-wise Revenue'!$B$4:$B$9</c:f>
              <c:numCache>
                <c:formatCode>General</c:formatCode>
                <c:ptCount val="5"/>
                <c:pt idx="0">
                  <c:v>26881</c:v>
                </c:pt>
                <c:pt idx="1">
                  <c:v>27946</c:v>
                </c:pt>
                <c:pt idx="2">
                  <c:v>27662</c:v>
                </c:pt>
                <c:pt idx="3">
                  <c:v>27355</c:v>
                </c:pt>
                <c:pt idx="4">
                  <c:v>25456</c:v>
                </c:pt>
              </c:numCache>
            </c:numRef>
          </c:val>
          <c:extLst>
            <c:ext xmlns:c16="http://schemas.microsoft.com/office/drawing/2014/chart" uri="{C3380CC4-5D6E-409C-BE32-E72D297353CC}">
              <c16:uniqueId val="{00000000-230C-4BD6-B150-C0BB20EA502A}"/>
            </c:ext>
          </c:extLst>
        </c:ser>
        <c:dLbls>
          <c:showLegendKey val="0"/>
          <c:showVal val="0"/>
          <c:showCatName val="0"/>
          <c:showSerName val="0"/>
          <c:showPercent val="0"/>
          <c:showBubbleSize val="0"/>
        </c:dLbls>
        <c:gapWidth val="219"/>
        <c:overlap val="-27"/>
        <c:axId val="114690384"/>
        <c:axId val="114692304"/>
      </c:barChart>
      <c:catAx>
        <c:axId val="11469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92304"/>
        <c:crosses val="autoZero"/>
        <c:auto val="1"/>
        <c:lblAlgn val="ctr"/>
        <c:lblOffset val="100"/>
        <c:noMultiLvlLbl val="0"/>
      </c:catAx>
      <c:valAx>
        <c:axId val="1146923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9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Revenue &amp; Cost!PivotTable5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Year-wise</a:t>
            </a:r>
            <a:r>
              <a:rPr lang="en-US" baseline="0">
                <a:solidFill>
                  <a:schemeClr val="bg1"/>
                </a:solidFill>
              </a:rPr>
              <a:t> Revenue &amp; Cost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Revenue &amp; Cost'!$B$3</c:f>
              <c:strCache>
                <c:ptCount val="1"/>
                <c:pt idx="0">
                  <c:v>Sum of Revenue (BDT Cr)</c:v>
                </c:pt>
              </c:strCache>
            </c:strRef>
          </c:tx>
          <c:spPr>
            <a:solidFill>
              <a:schemeClr val="accent1"/>
            </a:solidFill>
            <a:ln>
              <a:noFill/>
            </a:ln>
            <a:effectLst/>
          </c:spPr>
          <c:invertIfNegative val="0"/>
          <c:cat>
            <c:strRef>
              <c:f>'Year-wise Revenue &amp; Cost'!$A$4:$A$9</c:f>
              <c:strCache>
                <c:ptCount val="5"/>
                <c:pt idx="0">
                  <c:v>2020</c:v>
                </c:pt>
                <c:pt idx="1">
                  <c:v>2021</c:v>
                </c:pt>
                <c:pt idx="2">
                  <c:v>2022</c:v>
                </c:pt>
                <c:pt idx="3">
                  <c:v>2023</c:v>
                </c:pt>
                <c:pt idx="4">
                  <c:v>2024</c:v>
                </c:pt>
              </c:strCache>
            </c:strRef>
          </c:cat>
          <c:val>
            <c:numRef>
              <c:f>'Year-wise Revenue &amp; Cost'!$B$4:$B$9</c:f>
              <c:numCache>
                <c:formatCode>General</c:formatCode>
                <c:ptCount val="5"/>
                <c:pt idx="0">
                  <c:v>26881</c:v>
                </c:pt>
                <c:pt idx="1">
                  <c:v>27946</c:v>
                </c:pt>
                <c:pt idx="2">
                  <c:v>27662</c:v>
                </c:pt>
                <c:pt idx="3">
                  <c:v>27355</c:v>
                </c:pt>
                <c:pt idx="4">
                  <c:v>25456</c:v>
                </c:pt>
              </c:numCache>
            </c:numRef>
          </c:val>
          <c:extLst>
            <c:ext xmlns:c16="http://schemas.microsoft.com/office/drawing/2014/chart" uri="{C3380CC4-5D6E-409C-BE32-E72D297353CC}">
              <c16:uniqueId val="{00000000-A822-42E4-BDB1-9FA9E6E30D86}"/>
            </c:ext>
          </c:extLst>
        </c:ser>
        <c:dLbls>
          <c:showLegendKey val="0"/>
          <c:showVal val="0"/>
          <c:showCatName val="0"/>
          <c:showSerName val="0"/>
          <c:showPercent val="0"/>
          <c:showBubbleSize val="0"/>
        </c:dLbls>
        <c:gapWidth val="219"/>
        <c:overlap val="-27"/>
        <c:axId val="114690864"/>
        <c:axId val="114683184"/>
      </c:barChart>
      <c:lineChart>
        <c:grouping val="standard"/>
        <c:varyColors val="0"/>
        <c:ser>
          <c:idx val="1"/>
          <c:order val="1"/>
          <c:tx>
            <c:strRef>
              <c:f>'Year-wise Revenue &amp; Cost'!$C$3</c:f>
              <c:strCache>
                <c:ptCount val="1"/>
                <c:pt idx="0">
                  <c:v>Sum of Cost (BDT Cr)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'Year-wise Revenue &amp; Cost'!$A$4:$A$9</c:f>
              <c:strCache>
                <c:ptCount val="5"/>
                <c:pt idx="0">
                  <c:v>2020</c:v>
                </c:pt>
                <c:pt idx="1">
                  <c:v>2021</c:v>
                </c:pt>
                <c:pt idx="2">
                  <c:v>2022</c:v>
                </c:pt>
                <c:pt idx="3">
                  <c:v>2023</c:v>
                </c:pt>
                <c:pt idx="4">
                  <c:v>2024</c:v>
                </c:pt>
              </c:strCache>
            </c:strRef>
          </c:cat>
          <c:val>
            <c:numRef>
              <c:f>'Year-wise Revenue &amp; Cost'!$C$4:$C$9</c:f>
              <c:numCache>
                <c:formatCode>General</c:formatCode>
                <c:ptCount val="5"/>
                <c:pt idx="0">
                  <c:v>19472</c:v>
                </c:pt>
                <c:pt idx="1">
                  <c:v>19727</c:v>
                </c:pt>
                <c:pt idx="2">
                  <c:v>19976</c:v>
                </c:pt>
                <c:pt idx="3">
                  <c:v>19770</c:v>
                </c:pt>
                <c:pt idx="4">
                  <c:v>17667</c:v>
                </c:pt>
              </c:numCache>
            </c:numRef>
          </c:val>
          <c:smooth val="0"/>
          <c:extLst>
            <c:ext xmlns:c16="http://schemas.microsoft.com/office/drawing/2014/chart" uri="{C3380CC4-5D6E-409C-BE32-E72D297353CC}">
              <c16:uniqueId val="{00000001-A822-42E4-BDB1-9FA9E6E30D86}"/>
            </c:ext>
          </c:extLst>
        </c:ser>
        <c:dLbls>
          <c:showLegendKey val="0"/>
          <c:showVal val="0"/>
          <c:showCatName val="0"/>
          <c:showSerName val="0"/>
          <c:showPercent val="0"/>
          <c:showBubbleSize val="0"/>
        </c:dLbls>
        <c:marker val="1"/>
        <c:smooth val="0"/>
        <c:axId val="114691824"/>
        <c:axId val="114684144"/>
      </c:lineChart>
      <c:catAx>
        <c:axId val="11469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83184"/>
        <c:crosses val="autoZero"/>
        <c:auto val="1"/>
        <c:lblAlgn val="ctr"/>
        <c:lblOffset val="100"/>
        <c:noMultiLvlLbl val="0"/>
      </c:catAx>
      <c:valAx>
        <c:axId val="11468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90864"/>
        <c:crosses val="autoZero"/>
        <c:crossBetween val="between"/>
      </c:valAx>
      <c:valAx>
        <c:axId val="114684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91824"/>
        <c:crosses val="max"/>
        <c:crossBetween val="between"/>
      </c:valAx>
      <c:catAx>
        <c:axId val="114691824"/>
        <c:scaling>
          <c:orientation val="minMax"/>
        </c:scaling>
        <c:delete val="1"/>
        <c:axPos val="b"/>
        <c:numFmt formatCode="General" sourceLinked="1"/>
        <c:majorTickMark val="out"/>
        <c:minorTickMark val="none"/>
        <c:tickLblPos val="nextTo"/>
        <c:crossAx val="1146841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1.xlsx]Revenue by Divisions!PivotTable6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rPr>
              <a:t>Revenue by Divisions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Divisions'!$B$3</c:f>
              <c:strCache>
                <c:ptCount val="1"/>
                <c:pt idx="0">
                  <c:v>Total</c:v>
                </c:pt>
              </c:strCache>
            </c:strRef>
          </c:tx>
          <c:spPr>
            <a:solidFill>
              <a:schemeClr val="accent1"/>
            </a:solidFill>
            <a:ln>
              <a:noFill/>
            </a:ln>
            <a:effectLst/>
          </c:spPr>
          <c:invertIfNegative val="0"/>
          <c:cat>
            <c:strRef>
              <c:f>'Revenue by Divisions'!$A$4:$A$12</c:f>
              <c:strCache>
                <c:ptCount val="8"/>
                <c:pt idx="0">
                  <c:v>Rangpur</c:v>
                </c:pt>
                <c:pt idx="1">
                  <c:v>Rajshahi</c:v>
                </c:pt>
                <c:pt idx="2">
                  <c:v>Barisal</c:v>
                </c:pt>
                <c:pt idx="3">
                  <c:v>Chattogram</c:v>
                </c:pt>
                <c:pt idx="4">
                  <c:v>Mymensingh</c:v>
                </c:pt>
                <c:pt idx="5">
                  <c:v>Dhaka</c:v>
                </c:pt>
                <c:pt idx="6">
                  <c:v>Khulna</c:v>
                </c:pt>
                <c:pt idx="7">
                  <c:v>Sylhet</c:v>
                </c:pt>
              </c:strCache>
            </c:strRef>
          </c:cat>
          <c:val>
            <c:numRef>
              <c:f>'Revenue by Divisions'!$B$4:$B$12</c:f>
              <c:numCache>
                <c:formatCode>General</c:formatCode>
                <c:ptCount val="8"/>
                <c:pt idx="0">
                  <c:v>17426</c:v>
                </c:pt>
                <c:pt idx="1">
                  <c:v>17261</c:v>
                </c:pt>
                <c:pt idx="2">
                  <c:v>17101</c:v>
                </c:pt>
                <c:pt idx="3">
                  <c:v>16801</c:v>
                </c:pt>
                <c:pt idx="4">
                  <c:v>16774</c:v>
                </c:pt>
                <c:pt idx="5">
                  <c:v>16704</c:v>
                </c:pt>
                <c:pt idx="6">
                  <c:v>16682</c:v>
                </c:pt>
                <c:pt idx="7">
                  <c:v>16551</c:v>
                </c:pt>
              </c:numCache>
            </c:numRef>
          </c:val>
          <c:extLst>
            <c:ext xmlns:c16="http://schemas.microsoft.com/office/drawing/2014/chart" uri="{C3380CC4-5D6E-409C-BE32-E72D297353CC}">
              <c16:uniqueId val="{00000000-1272-499E-B372-DFC5EBC58824}"/>
            </c:ext>
          </c:extLst>
        </c:ser>
        <c:dLbls>
          <c:showLegendKey val="0"/>
          <c:showVal val="0"/>
          <c:showCatName val="0"/>
          <c:showSerName val="0"/>
          <c:showPercent val="0"/>
          <c:showBubbleSize val="0"/>
        </c:dLbls>
        <c:gapWidth val="182"/>
        <c:axId val="114696144"/>
        <c:axId val="114693744"/>
      </c:barChart>
      <c:catAx>
        <c:axId val="11469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93744"/>
        <c:crosses val="autoZero"/>
        <c:auto val="1"/>
        <c:lblAlgn val="ctr"/>
        <c:lblOffset val="100"/>
        <c:noMultiLvlLbl val="0"/>
      </c:catAx>
      <c:valAx>
        <c:axId val="11469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69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1.xlsx]Division-wise yearly Revenue!PivotTable9</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Division-wise yearly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'Division-wise yearly Revenue'!$B$3:$B$4</c:f>
              <c:strCache>
                <c:ptCount val="1"/>
                <c:pt idx="0">
                  <c:v>Barisal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Revenue'!$B$5:$B$10</c:f>
              <c:numCache>
                <c:formatCode>General</c:formatCode>
                <c:ptCount val="5"/>
                <c:pt idx="0">
                  <c:v>3251</c:v>
                </c:pt>
                <c:pt idx="1">
                  <c:v>3321</c:v>
                </c:pt>
                <c:pt idx="2">
                  <c:v>3337</c:v>
                </c:pt>
                <c:pt idx="3">
                  <c:v>3542</c:v>
                </c:pt>
                <c:pt idx="4">
                  <c:v>3650</c:v>
                </c:pt>
              </c:numCache>
            </c:numRef>
          </c:val>
          <c:smooth val="0"/>
          <c:extLst>
            <c:ext xmlns:c16="http://schemas.microsoft.com/office/drawing/2014/chart" uri="{C3380CC4-5D6E-409C-BE32-E72D297353CC}">
              <c16:uniqueId val="{00000000-278A-421E-B87B-F47ECF2E4CAF}"/>
            </c:ext>
          </c:extLst>
        </c:ser>
        <c:ser>
          <c:idx val="1"/>
          <c:order val="1"/>
          <c:tx>
            <c:strRef>
              <c:f>'Division-wise yearly Revenue'!$C$3:$C$4</c:f>
              <c:strCache>
                <c:ptCount val="1"/>
                <c:pt idx="0">
                  <c:v>Chattogram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Revenue'!$C$5:$C$10</c:f>
              <c:numCache>
                <c:formatCode>General</c:formatCode>
                <c:ptCount val="5"/>
                <c:pt idx="0">
                  <c:v>3236</c:v>
                </c:pt>
                <c:pt idx="1">
                  <c:v>3571</c:v>
                </c:pt>
                <c:pt idx="2">
                  <c:v>3380</c:v>
                </c:pt>
                <c:pt idx="3">
                  <c:v>3479</c:v>
                </c:pt>
                <c:pt idx="4">
                  <c:v>3135</c:v>
                </c:pt>
              </c:numCache>
            </c:numRef>
          </c:val>
          <c:smooth val="0"/>
          <c:extLst>
            <c:ext xmlns:c16="http://schemas.microsoft.com/office/drawing/2014/chart" uri="{C3380CC4-5D6E-409C-BE32-E72D297353CC}">
              <c16:uniqueId val="{00000009-278A-421E-B87B-F47ECF2E4CAF}"/>
            </c:ext>
          </c:extLst>
        </c:ser>
        <c:ser>
          <c:idx val="2"/>
          <c:order val="2"/>
          <c:tx>
            <c:strRef>
              <c:f>'Division-wise yearly Revenue'!$D$3:$D$4</c:f>
              <c:strCache>
                <c:ptCount val="1"/>
                <c:pt idx="0">
                  <c:v>Dhaka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Revenue'!$D$5:$D$10</c:f>
              <c:numCache>
                <c:formatCode>General</c:formatCode>
                <c:ptCount val="5"/>
                <c:pt idx="0">
                  <c:v>3367</c:v>
                </c:pt>
                <c:pt idx="1">
                  <c:v>3390</c:v>
                </c:pt>
                <c:pt idx="2">
                  <c:v>3612</c:v>
                </c:pt>
                <c:pt idx="3">
                  <c:v>3232</c:v>
                </c:pt>
                <c:pt idx="4">
                  <c:v>3103</c:v>
                </c:pt>
              </c:numCache>
            </c:numRef>
          </c:val>
          <c:smooth val="0"/>
          <c:extLst>
            <c:ext xmlns:c16="http://schemas.microsoft.com/office/drawing/2014/chart" uri="{C3380CC4-5D6E-409C-BE32-E72D297353CC}">
              <c16:uniqueId val="{0000000A-278A-421E-B87B-F47ECF2E4CAF}"/>
            </c:ext>
          </c:extLst>
        </c:ser>
        <c:ser>
          <c:idx val="3"/>
          <c:order val="3"/>
          <c:tx>
            <c:strRef>
              <c:f>'Division-wise yearly Revenue'!$E$3:$E$4</c:f>
              <c:strCache>
                <c:ptCount val="1"/>
                <c:pt idx="0">
                  <c:v>Khulna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Revenue'!$E$5:$E$10</c:f>
              <c:numCache>
                <c:formatCode>General</c:formatCode>
                <c:ptCount val="5"/>
                <c:pt idx="0">
                  <c:v>3465</c:v>
                </c:pt>
                <c:pt idx="1">
                  <c:v>3176</c:v>
                </c:pt>
                <c:pt idx="2">
                  <c:v>3174</c:v>
                </c:pt>
                <c:pt idx="3">
                  <c:v>3764</c:v>
                </c:pt>
                <c:pt idx="4">
                  <c:v>3103</c:v>
                </c:pt>
              </c:numCache>
            </c:numRef>
          </c:val>
          <c:smooth val="0"/>
          <c:extLst>
            <c:ext xmlns:c16="http://schemas.microsoft.com/office/drawing/2014/chart" uri="{C3380CC4-5D6E-409C-BE32-E72D297353CC}">
              <c16:uniqueId val="{0000000B-278A-421E-B87B-F47ECF2E4CAF}"/>
            </c:ext>
          </c:extLst>
        </c:ser>
        <c:ser>
          <c:idx val="4"/>
          <c:order val="4"/>
          <c:tx>
            <c:strRef>
              <c:f>'Division-wise yearly Revenue'!$F$3:$F$4</c:f>
              <c:strCache>
                <c:ptCount val="1"/>
                <c:pt idx="0">
                  <c:v>Mymensingh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Revenue'!$F$5:$F$10</c:f>
              <c:numCache>
                <c:formatCode>General</c:formatCode>
                <c:ptCount val="5"/>
                <c:pt idx="0">
                  <c:v>3259</c:v>
                </c:pt>
                <c:pt idx="1">
                  <c:v>3604</c:v>
                </c:pt>
                <c:pt idx="2">
                  <c:v>3276</c:v>
                </c:pt>
                <c:pt idx="3">
                  <c:v>3516</c:v>
                </c:pt>
                <c:pt idx="4">
                  <c:v>3119</c:v>
                </c:pt>
              </c:numCache>
            </c:numRef>
          </c:val>
          <c:smooth val="0"/>
          <c:extLst>
            <c:ext xmlns:c16="http://schemas.microsoft.com/office/drawing/2014/chart" uri="{C3380CC4-5D6E-409C-BE32-E72D297353CC}">
              <c16:uniqueId val="{0000000C-278A-421E-B87B-F47ECF2E4CAF}"/>
            </c:ext>
          </c:extLst>
        </c:ser>
        <c:ser>
          <c:idx val="5"/>
          <c:order val="5"/>
          <c:tx>
            <c:strRef>
              <c:f>'Division-wise yearly Revenue'!$G$3:$G$4</c:f>
              <c:strCache>
                <c:ptCount val="1"/>
                <c:pt idx="0">
                  <c:v>Rajshahi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Revenue'!$G$5:$G$10</c:f>
              <c:numCache>
                <c:formatCode>General</c:formatCode>
                <c:ptCount val="5"/>
                <c:pt idx="0">
                  <c:v>3416</c:v>
                </c:pt>
                <c:pt idx="1">
                  <c:v>3765</c:v>
                </c:pt>
                <c:pt idx="2">
                  <c:v>3484</c:v>
                </c:pt>
                <c:pt idx="3">
                  <c:v>3549</c:v>
                </c:pt>
                <c:pt idx="4">
                  <c:v>3047</c:v>
                </c:pt>
              </c:numCache>
            </c:numRef>
          </c:val>
          <c:smooth val="0"/>
          <c:extLst>
            <c:ext xmlns:c16="http://schemas.microsoft.com/office/drawing/2014/chart" uri="{C3380CC4-5D6E-409C-BE32-E72D297353CC}">
              <c16:uniqueId val="{0000000D-278A-421E-B87B-F47ECF2E4CAF}"/>
            </c:ext>
          </c:extLst>
        </c:ser>
        <c:ser>
          <c:idx val="6"/>
          <c:order val="6"/>
          <c:tx>
            <c:strRef>
              <c:f>'Division-wise yearly Revenue'!$H$3:$H$4</c:f>
              <c:strCache>
                <c:ptCount val="1"/>
                <c:pt idx="0">
                  <c:v>Rangpur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Revenue'!$H$5:$H$10</c:f>
              <c:numCache>
                <c:formatCode>General</c:formatCode>
                <c:ptCount val="5"/>
                <c:pt idx="0">
                  <c:v>3247</c:v>
                </c:pt>
                <c:pt idx="1">
                  <c:v>3752</c:v>
                </c:pt>
                <c:pt idx="2">
                  <c:v>3985</c:v>
                </c:pt>
                <c:pt idx="3">
                  <c:v>3224</c:v>
                </c:pt>
                <c:pt idx="4">
                  <c:v>3218</c:v>
                </c:pt>
              </c:numCache>
            </c:numRef>
          </c:val>
          <c:smooth val="0"/>
          <c:extLst>
            <c:ext xmlns:c16="http://schemas.microsoft.com/office/drawing/2014/chart" uri="{C3380CC4-5D6E-409C-BE32-E72D297353CC}">
              <c16:uniqueId val="{0000000E-278A-421E-B87B-F47ECF2E4CAF}"/>
            </c:ext>
          </c:extLst>
        </c:ser>
        <c:ser>
          <c:idx val="7"/>
          <c:order val="7"/>
          <c:tx>
            <c:strRef>
              <c:f>'Division-wise yearly Revenue'!$I$3:$I$4</c:f>
              <c:strCache>
                <c:ptCount val="1"/>
                <c:pt idx="0">
                  <c:v>Sylhet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Revenue'!$I$5:$I$10</c:f>
              <c:numCache>
                <c:formatCode>General</c:formatCode>
                <c:ptCount val="5"/>
                <c:pt idx="0">
                  <c:v>3640</c:v>
                </c:pt>
                <c:pt idx="1">
                  <c:v>3367</c:v>
                </c:pt>
                <c:pt idx="2">
                  <c:v>3414</c:v>
                </c:pt>
                <c:pt idx="3">
                  <c:v>3049</c:v>
                </c:pt>
                <c:pt idx="4">
                  <c:v>3081</c:v>
                </c:pt>
              </c:numCache>
            </c:numRef>
          </c:val>
          <c:smooth val="0"/>
          <c:extLst>
            <c:ext xmlns:c16="http://schemas.microsoft.com/office/drawing/2014/chart" uri="{C3380CC4-5D6E-409C-BE32-E72D297353CC}">
              <c16:uniqueId val="{0000000F-278A-421E-B87B-F47ECF2E4CAF}"/>
            </c:ext>
          </c:extLst>
        </c:ser>
        <c:dLbls>
          <c:showLegendKey val="0"/>
          <c:showVal val="0"/>
          <c:showCatName val="0"/>
          <c:showSerName val="0"/>
          <c:showPercent val="0"/>
          <c:showBubbleSize val="0"/>
        </c:dLbls>
        <c:marker val="1"/>
        <c:smooth val="0"/>
        <c:axId val="206915760"/>
        <c:axId val="206917680"/>
      </c:lineChart>
      <c:catAx>
        <c:axId val="2069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917680"/>
        <c:crosses val="autoZero"/>
        <c:auto val="1"/>
        <c:lblAlgn val="ctr"/>
        <c:lblOffset val="100"/>
        <c:noMultiLvlLbl val="0"/>
      </c:catAx>
      <c:valAx>
        <c:axId val="206917680"/>
        <c:scaling>
          <c:orientation val="minMax"/>
          <c:min val="2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91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1.xlsx]Revenue by Payment Method!PivotTable10</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 by Payment</a:t>
            </a:r>
            <a:r>
              <a:rPr lang="en-US" baseline="0">
                <a:solidFill>
                  <a:schemeClr val="bg1"/>
                </a:solidFill>
              </a:rPr>
              <a:t> Method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0081207212022786"/>
              <c:y val="-2.819327911879867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0701232841978304"/>
              <c:y val="-6.2761499074910718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'Revenue by 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E6-40F4-BD69-BB0E69BAE8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E6-40F4-BD69-BB0E69BAE855}"/>
              </c:ext>
            </c:extLst>
          </c:dPt>
          <c:dLbls>
            <c:dLbl>
              <c:idx val="0"/>
              <c:layout>
                <c:manualLayout>
                  <c:x val="-0.20081207212022786"/>
                  <c:y val="-2.819327911879867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E6-40F4-BD69-BB0E69BAE855}"/>
                </c:ext>
              </c:extLst>
            </c:dLbl>
            <c:dLbl>
              <c:idx val="1"/>
              <c:layout>
                <c:manualLayout>
                  <c:x val="0.20701232841978304"/>
                  <c:y val="-6.2761499074910718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E6-40F4-BD69-BB0E69BAE85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Method'!$A$4:$A$6</c:f>
              <c:strCache>
                <c:ptCount val="2"/>
                <c:pt idx="0">
                  <c:v>Offline</c:v>
                </c:pt>
                <c:pt idx="1">
                  <c:v>Online</c:v>
                </c:pt>
              </c:strCache>
            </c:strRef>
          </c:cat>
          <c:val>
            <c:numRef>
              <c:f>'Revenue by Payment Method'!$B$4:$B$6</c:f>
              <c:numCache>
                <c:formatCode>General</c:formatCode>
                <c:ptCount val="2"/>
                <c:pt idx="0">
                  <c:v>68689</c:v>
                </c:pt>
                <c:pt idx="1">
                  <c:v>66611</c:v>
                </c:pt>
              </c:numCache>
            </c:numRef>
          </c:val>
          <c:extLst>
            <c:ext xmlns:c16="http://schemas.microsoft.com/office/drawing/2014/chart" uri="{C3380CC4-5D6E-409C-BE32-E72D297353CC}">
              <c16:uniqueId val="{00000004-EBE6-40F4-BD69-BB0E69BAE8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1.xlsx]Revenue by Products!PivotTable7</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Products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Products'!$B$3</c:f>
              <c:strCache>
                <c:ptCount val="1"/>
                <c:pt idx="0">
                  <c:v>Total</c:v>
                </c:pt>
              </c:strCache>
            </c:strRef>
          </c:tx>
          <c:spPr>
            <a:solidFill>
              <a:schemeClr val="accent1"/>
            </a:solidFill>
            <a:ln>
              <a:noFill/>
            </a:ln>
            <a:effectLst/>
          </c:spPr>
          <c:invertIfNegative val="0"/>
          <c:cat>
            <c:strRef>
              <c:f>'Revenue by Products'!$A$4:$A$12</c:f>
              <c:strCache>
                <c:ptCount val="8"/>
                <c:pt idx="0">
                  <c:v>TVs</c:v>
                </c:pt>
                <c:pt idx="1">
                  <c:v>Washing Machines</c:v>
                </c:pt>
                <c:pt idx="2">
                  <c:v>Tablets</c:v>
                </c:pt>
                <c:pt idx="3">
                  <c:v>Wearables</c:v>
                </c:pt>
                <c:pt idx="4">
                  <c:v>ACs</c:v>
                </c:pt>
                <c:pt idx="5">
                  <c:v>Monitors</c:v>
                </c:pt>
                <c:pt idx="6">
                  <c:v>Smartphones</c:v>
                </c:pt>
                <c:pt idx="7">
                  <c:v>Refrigerators</c:v>
                </c:pt>
              </c:strCache>
            </c:strRef>
          </c:cat>
          <c:val>
            <c:numRef>
              <c:f>'Revenue by Products'!$B$4:$B$12</c:f>
              <c:numCache>
                <c:formatCode>General</c:formatCode>
                <c:ptCount val="8"/>
                <c:pt idx="0">
                  <c:v>17601</c:v>
                </c:pt>
                <c:pt idx="1">
                  <c:v>17499</c:v>
                </c:pt>
                <c:pt idx="2">
                  <c:v>17357</c:v>
                </c:pt>
                <c:pt idx="3">
                  <c:v>17091</c:v>
                </c:pt>
                <c:pt idx="4">
                  <c:v>16830</c:v>
                </c:pt>
                <c:pt idx="5">
                  <c:v>16742</c:v>
                </c:pt>
                <c:pt idx="6">
                  <c:v>16683</c:v>
                </c:pt>
                <c:pt idx="7">
                  <c:v>15497</c:v>
                </c:pt>
              </c:numCache>
            </c:numRef>
          </c:val>
          <c:extLst>
            <c:ext xmlns:c16="http://schemas.microsoft.com/office/drawing/2014/chart" uri="{C3380CC4-5D6E-409C-BE32-E72D297353CC}">
              <c16:uniqueId val="{00000000-E11D-464A-A8B9-FFFB4F350B16}"/>
            </c:ext>
          </c:extLst>
        </c:ser>
        <c:dLbls>
          <c:showLegendKey val="0"/>
          <c:showVal val="0"/>
          <c:showCatName val="0"/>
          <c:showSerName val="0"/>
          <c:showPercent val="0"/>
          <c:showBubbleSize val="0"/>
        </c:dLbls>
        <c:gapWidth val="182"/>
        <c:axId val="206894160"/>
        <c:axId val="206899920"/>
      </c:barChart>
      <c:catAx>
        <c:axId val="2068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99920"/>
        <c:crosses val="autoZero"/>
        <c:auto val="1"/>
        <c:lblAlgn val="ctr"/>
        <c:lblOffset val="100"/>
        <c:noMultiLvlLbl val="0"/>
      </c:catAx>
      <c:valAx>
        <c:axId val="20689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9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Divisional Revenue!PivotTable8</c:name>
    <c:fmtId val="27"/>
  </c:pivotSource>
  <c:chart>
    <c:title>
      <c:tx>
        <c:rich>
          <a:bodyPr rot="0" spcFirstLastPara="1" vertOverflow="ellipsis" vert="horz" wrap="square" anchor="ctr" anchorCtr="1"/>
          <a:lstStyle/>
          <a:p>
            <a:pPr>
              <a:defRPr sz="1800" b="0" i="0" u="none" strike="noStrike" kern="1200" cap="none" spc="50" baseline="0">
                <a:solidFill>
                  <a:schemeClr val="bg1"/>
                </a:solidFill>
                <a:latin typeface="+mn-lt"/>
                <a:ea typeface="+mn-ea"/>
                <a:cs typeface="+mn-cs"/>
              </a:defRPr>
            </a:pPr>
            <a:r>
              <a:rPr lang="en-US">
                <a:solidFill>
                  <a:schemeClr val="bg1"/>
                </a:solidFill>
              </a:rPr>
              <a:t>Year-wise Divisional Revenue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bg1"/>
              </a:solidFill>
              <a:latin typeface="+mn-lt"/>
              <a:ea typeface="+mn-ea"/>
              <a:cs typeface="+mn-cs"/>
            </a:defRPr>
          </a:pPr>
          <a:endParaRPr lang="en-US"/>
        </a:p>
      </c:txPr>
    </c:title>
    <c:autoTitleDeleted val="0"/>
    <c:pivotFmts>
      <c:pivotFmt>
        <c:idx val="0"/>
        <c:spPr>
          <a:noFill/>
          <a:ln w="25400" cap="flat" cmpd="sng" algn="ctr">
            <a:solidFill>
              <a:schemeClr val="accent2"/>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Divisional Revenue'!$B$3</c:f>
              <c:strCache>
                <c:ptCount val="1"/>
                <c:pt idx="0">
                  <c:v>Total</c:v>
                </c:pt>
              </c:strCache>
            </c:strRef>
          </c:tx>
          <c:spPr>
            <a:noFill/>
            <a:ln w="25400" cap="flat" cmpd="sng" algn="ctr">
              <a:solidFill>
                <a:schemeClr val="accent2"/>
              </a:solidFill>
              <a:miter lim="800000"/>
            </a:ln>
            <a:effectLst/>
          </c:spPr>
          <c:invertIfNegative val="0"/>
          <c:cat>
            <c:multiLvlStrRef>
              <c:f>'Year-wise Divisional Revenue'!$A$4:$A$49</c:f>
              <c:multiLvlStrCache>
                <c:ptCount val="40"/>
                <c:lvl>
                  <c:pt idx="0">
                    <c:v>Sylhet</c:v>
                  </c:pt>
                  <c:pt idx="1">
                    <c:v>Khulna</c:v>
                  </c:pt>
                  <c:pt idx="2">
                    <c:v>Rajshahi</c:v>
                  </c:pt>
                  <c:pt idx="3">
                    <c:v>Dhaka</c:v>
                  </c:pt>
                  <c:pt idx="4">
                    <c:v>Mymensingh</c:v>
                  </c:pt>
                  <c:pt idx="5">
                    <c:v>Barisal</c:v>
                  </c:pt>
                  <c:pt idx="6">
                    <c:v>Rangpur</c:v>
                  </c:pt>
                  <c:pt idx="7">
                    <c:v>Chattogram</c:v>
                  </c:pt>
                  <c:pt idx="8">
                    <c:v>Rajshahi</c:v>
                  </c:pt>
                  <c:pt idx="9">
                    <c:v>Rangpur</c:v>
                  </c:pt>
                  <c:pt idx="10">
                    <c:v>Mymensingh</c:v>
                  </c:pt>
                  <c:pt idx="11">
                    <c:v>Chattogram</c:v>
                  </c:pt>
                  <c:pt idx="12">
                    <c:v>Dhaka</c:v>
                  </c:pt>
                  <c:pt idx="13">
                    <c:v>Sylhet</c:v>
                  </c:pt>
                  <c:pt idx="14">
                    <c:v>Barisal</c:v>
                  </c:pt>
                  <c:pt idx="15">
                    <c:v>Khulna</c:v>
                  </c:pt>
                  <c:pt idx="16">
                    <c:v>Rangpur</c:v>
                  </c:pt>
                  <c:pt idx="17">
                    <c:v>Dhaka</c:v>
                  </c:pt>
                  <c:pt idx="18">
                    <c:v>Rajshahi</c:v>
                  </c:pt>
                  <c:pt idx="19">
                    <c:v>Sylhet</c:v>
                  </c:pt>
                  <c:pt idx="20">
                    <c:v>Chattogram</c:v>
                  </c:pt>
                  <c:pt idx="21">
                    <c:v>Barisal</c:v>
                  </c:pt>
                  <c:pt idx="22">
                    <c:v>Mymensingh</c:v>
                  </c:pt>
                  <c:pt idx="23">
                    <c:v>Khulna</c:v>
                  </c:pt>
                  <c:pt idx="24">
                    <c:v>Khulna</c:v>
                  </c:pt>
                  <c:pt idx="25">
                    <c:v>Rajshahi</c:v>
                  </c:pt>
                  <c:pt idx="26">
                    <c:v>Barisal</c:v>
                  </c:pt>
                  <c:pt idx="27">
                    <c:v>Mymensingh</c:v>
                  </c:pt>
                  <c:pt idx="28">
                    <c:v>Chattogram</c:v>
                  </c:pt>
                  <c:pt idx="29">
                    <c:v>Dhaka</c:v>
                  </c:pt>
                  <c:pt idx="30">
                    <c:v>Rangpur</c:v>
                  </c:pt>
                  <c:pt idx="31">
                    <c:v>Sylhet</c:v>
                  </c:pt>
                  <c:pt idx="32">
                    <c:v>Barisal</c:v>
                  </c:pt>
                  <c:pt idx="33">
                    <c:v>Rangpur</c:v>
                  </c:pt>
                  <c:pt idx="34">
                    <c:v>Chattogram</c:v>
                  </c:pt>
                  <c:pt idx="35">
                    <c:v>Mymensingh</c:v>
                  </c:pt>
                  <c:pt idx="36">
                    <c:v>Dhaka</c:v>
                  </c:pt>
                  <c:pt idx="37">
                    <c:v>Khulna</c:v>
                  </c:pt>
                  <c:pt idx="38">
                    <c:v>Sylhet</c:v>
                  </c:pt>
                  <c:pt idx="39">
                    <c:v>Rajshahi</c:v>
                  </c:pt>
                </c:lvl>
                <c:lvl>
                  <c:pt idx="0">
                    <c:v>2020</c:v>
                  </c:pt>
                  <c:pt idx="8">
                    <c:v>2021</c:v>
                  </c:pt>
                  <c:pt idx="16">
                    <c:v>2022</c:v>
                  </c:pt>
                  <c:pt idx="24">
                    <c:v>2023</c:v>
                  </c:pt>
                  <c:pt idx="32">
                    <c:v>2024</c:v>
                  </c:pt>
                </c:lvl>
              </c:multiLvlStrCache>
            </c:multiLvlStrRef>
          </c:cat>
          <c:val>
            <c:numRef>
              <c:f>'Year-wise Divisional Revenue'!$B$4:$B$49</c:f>
              <c:numCache>
                <c:formatCode>General</c:formatCode>
                <c:ptCount val="40"/>
                <c:pt idx="0">
                  <c:v>3640</c:v>
                </c:pt>
                <c:pt idx="1">
                  <c:v>3465</c:v>
                </c:pt>
                <c:pt idx="2">
                  <c:v>3416</c:v>
                </c:pt>
                <c:pt idx="3">
                  <c:v>3367</c:v>
                </c:pt>
                <c:pt idx="4">
                  <c:v>3259</c:v>
                </c:pt>
                <c:pt idx="5">
                  <c:v>3251</c:v>
                </c:pt>
                <c:pt idx="6">
                  <c:v>3247</c:v>
                </c:pt>
                <c:pt idx="7">
                  <c:v>3236</c:v>
                </c:pt>
                <c:pt idx="8">
                  <c:v>3765</c:v>
                </c:pt>
                <c:pt idx="9">
                  <c:v>3752</c:v>
                </c:pt>
                <c:pt idx="10">
                  <c:v>3604</c:v>
                </c:pt>
                <c:pt idx="11">
                  <c:v>3571</c:v>
                </c:pt>
                <c:pt idx="12">
                  <c:v>3390</c:v>
                </c:pt>
                <c:pt idx="13">
                  <c:v>3367</c:v>
                </c:pt>
                <c:pt idx="14">
                  <c:v>3321</c:v>
                </c:pt>
                <c:pt idx="15">
                  <c:v>3176</c:v>
                </c:pt>
                <c:pt idx="16">
                  <c:v>3985</c:v>
                </c:pt>
                <c:pt idx="17">
                  <c:v>3612</c:v>
                </c:pt>
                <c:pt idx="18">
                  <c:v>3484</c:v>
                </c:pt>
                <c:pt idx="19">
                  <c:v>3414</c:v>
                </c:pt>
                <c:pt idx="20">
                  <c:v>3380</c:v>
                </c:pt>
                <c:pt idx="21">
                  <c:v>3337</c:v>
                </c:pt>
                <c:pt idx="22">
                  <c:v>3276</c:v>
                </c:pt>
                <c:pt idx="23">
                  <c:v>3174</c:v>
                </c:pt>
                <c:pt idx="24">
                  <c:v>3764</c:v>
                </c:pt>
                <c:pt idx="25">
                  <c:v>3549</c:v>
                </c:pt>
                <c:pt idx="26">
                  <c:v>3542</c:v>
                </c:pt>
                <c:pt idx="27">
                  <c:v>3516</c:v>
                </c:pt>
                <c:pt idx="28">
                  <c:v>3479</c:v>
                </c:pt>
                <c:pt idx="29">
                  <c:v>3232</c:v>
                </c:pt>
                <c:pt idx="30">
                  <c:v>3224</c:v>
                </c:pt>
                <c:pt idx="31">
                  <c:v>3049</c:v>
                </c:pt>
                <c:pt idx="32">
                  <c:v>3650</c:v>
                </c:pt>
                <c:pt idx="33">
                  <c:v>3218</c:v>
                </c:pt>
                <c:pt idx="34">
                  <c:v>3135</c:v>
                </c:pt>
                <c:pt idx="35">
                  <c:v>3119</c:v>
                </c:pt>
                <c:pt idx="36">
                  <c:v>3103</c:v>
                </c:pt>
                <c:pt idx="37">
                  <c:v>3103</c:v>
                </c:pt>
                <c:pt idx="38">
                  <c:v>3081</c:v>
                </c:pt>
                <c:pt idx="39">
                  <c:v>3047</c:v>
                </c:pt>
              </c:numCache>
            </c:numRef>
          </c:val>
          <c:extLst>
            <c:ext xmlns:c16="http://schemas.microsoft.com/office/drawing/2014/chart" uri="{C3380CC4-5D6E-409C-BE32-E72D297353CC}">
              <c16:uniqueId val="{00000000-885C-46DF-B2F5-76A0542F2B81}"/>
            </c:ext>
          </c:extLst>
        </c:ser>
        <c:dLbls>
          <c:showLegendKey val="0"/>
          <c:showVal val="0"/>
          <c:showCatName val="0"/>
          <c:showSerName val="0"/>
          <c:showPercent val="0"/>
          <c:showBubbleSize val="0"/>
        </c:dLbls>
        <c:gapWidth val="164"/>
        <c:overlap val="-35"/>
        <c:axId val="206908080"/>
        <c:axId val="206900400"/>
      </c:barChart>
      <c:catAx>
        <c:axId val="20690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900400"/>
        <c:crosses val="autoZero"/>
        <c:auto val="1"/>
        <c:lblAlgn val="ctr"/>
        <c:lblOffset val="100"/>
        <c:noMultiLvlLbl val="0"/>
      </c:catAx>
      <c:valAx>
        <c:axId val="20690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90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1.xlsx]Profit by Product!PivotTable18</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 by</a:t>
            </a:r>
            <a:r>
              <a:rPr lang="en-US" baseline="0">
                <a:solidFill>
                  <a:schemeClr val="bg1"/>
                </a:solidFill>
              </a:rPr>
              <a:t>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Product'!$B$3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Product'!$A$4:$A$12</c:f>
              <c:strCache>
                <c:ptCount val="8"/>
                <c:pt idx="0">
                  <c:v>ACs</c:v>
                </c:pt>
                <c:pt idx="1">
                  <c:v>Monitors</c:v>
                </c:pt>
                <c:pt idx="2">
                  <c:v>Refrigerators</c:v>
                </c:pt>
                <c:pt idx="3">
                  <c:v>Smartphones</c:v>
                </c:pt>
                <c:pt idx="4">
                  <c:v>Tablets</c:v>
                </c:pt>
                <c:pt idx="5">
                  <c:v>TVs</c:v>
                </c:pt>
                <c:pt idx="6">
                  <c:v>Washing Machines</c:v>
                </c:pt>
                <c:pt idx="7">
                  <c:v>Wearables</c:v>
                </c:pt>
              </c:strCache>
            </c:strRef>
          </c:cat>
          <c:val>
            <c:numRef>
              <c:f>'Profit by Product'!$B$4:$B$12</c:f>
              <c:numCache>
                <c:formatCode>General</c:formatCode>
                <c:ptCount val="8"/>
                <c:pt idx="0">
                  <c:v>5011</c:v>
                </c:pt>
                <c:pt idx="1">
                  <c:v>5036</c:v>
                </c:pt>
                <c:pt idx="2">
                  <c:v>4531</c:v>
                </c:pt>
                <c:pt idx="3">
                  <c:v>4562</c:v>
                </c:pt>
                <c:pt idx="4">
                  <c:v>4781</c:v>
                </c:pt>
                <c:pt idx="5">
                  <c:v>5041</c:v>
                </c:pt>
                <c:pt idx="6">
                  <c:v>5031</c:v>
                </c:pt>
                <c:pt idx="7">
                  <c:v>4695</c:v>
                </c:pt>
              </c:numCache>
            </c:numRef>
          </c:val>
          <c:smooth val="0"/>
          <c:extLst>
            <c:ext xmlns:c16="http://schemas.microsoft.com/office/drawing/2014/chart" uri="{C3380CC4-5D6E-409C-BE32-E72D297353CC}">
              <c16:uniqueId val="{00000000-657E-4E53-A8EC-8A1ED871683D}"/>
            </c:ext>
          </c:extLst>
        </c:ser>
        <c:dLbls>
          <c:showLegendKey val="0"/>
          <c:showVal val="0"/>
          <c:showCatName val="0"/>
          <c:showSerName val="0"/>
          <c:showPercent val="0"/>
          <c:showBubbleSize val="0"/>
        </c:dLbls>
        <c:marker val="1"/>
        <c:smooth val="0"/>
        <c:axId val="399340336"/>
        <c:axId val="399350416"/>
      </c:lineChart>
      <c:catAx>
        <c:axId val="399340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9350416"/>
        <c:crosses val="autoZero"/>
        <c:auto val="1"/>
        <c:lblAlgn val="ctr"/>
        <c:lblOffset val="100"/>
        <c:noMultiLvlLbl val="0"/>
      </c:catAx>
      <c:valAx>
        <c:axId val="399350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934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1.xlsx]Profit By Year!PivotTable11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Year'!$B$3</c:f>
              <c:strCache>
                <c:ptCount val="1"/>
                <c:pt idx="0">
                  <c:v>Total</c:v>
                </c:pt>
              </c:strCache>
            </c:strRef>
          </c:tx>
          <c:spPr>
            <a:solidFill>
              <a:schemeClr val="accent1"/>
            </a:solidFill>
            <a:ln>
              <a:noFill/>
            </a:ln>
            <a:effectLst/>
          </c:spPr>
          <c:invertIfNegative val="0"/>
          <c:cat>
            <c:strRef>
              <c:f>'Profit By Year'!$A$4:$A$9</c:f>
              <c:strCache>
                <c:ptCount val="5"/>
                <c:pt idx="0">
                  <c:v>2020</c:v>
                </c:pt>
                <c:pt idx="1">
                  <c:v>2021</c:v>
                </c:pt>
                <c:pt idx="2">
                  <c:v>2022</c:v>
                </c:pt>
                <c:pt idx="3">
                  <c:v>2023</c:v>
                </c:pt>
                <c:pt idx="4">
                  <c:v>2024</c:v>
                </c:pt>
              </c:strCache>
            </c:strRef>
          </c:cat>
          <c:val>
            <c:numRef>
              <c:f>'Profit By Year'!$B$4:$B$9</c:f>
              <c:numCache>
                <c:formatCode>General</c:formatCode>
                <c:ptCount val="5"/>
                <c:pt idx="0">
                  <c:v>7409</c:v>
                </c:pt>
                <c:pt idx="1">
                  <c:v>8219</c:v>
                </c:pt>
                <c:pt idx="2">
                  <c:v>7686</c:v>
                </c:pt>
                <c:pt idx="3">
                  <c:v>7585</c:v>
                </c:pt>
                <c:pt idx="4">
                  <c:v>7789</c:v>
                </c:pt>
              </c:numCache>
            </c:numRef>
          </c:val>
          <c:extLst>
            <c:ext xmlns:c16="http://schemas.microsoft.com/office/drawing/2014/chart" uri="{C3380CC4-5D6E-409C-BE32-E72D297353CC}">
              <c16:uniqueId val="{00000000-465C-496F-8816-ED426F20ADD1}"/>
            </c:ext>
          </c:extLst>
        </c:ser>
        <c:dLbls>
          <c:showLegendKey val="0"/>
          <c:showVal val="0"/>
          <c:showCatName val="0"/>
          <c:showSerName val="0"/>
          <c:showPercent val="0"/>
          <c:showBubbleSize val="0"/>
        </c:dLbls>
        <c:gapWidth val="219"/>
        <c:overlap val="-27"/>
        <c:axId val="343330736"/>
        <c:axId val="343319216"/>
      </c:barChart>
      <c:catAx>
        <c:axId val="3433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3319216"/>
        <c:crosses val="autoZero"/>
        <c:auto val="1"/>
        <c:lblAlgn val="ctr"/>
        <c:lblOffset val="100"/>
        <c:noMultiLvlLbl val="0"/>
      </c:catAx>
      <c:valAx>
        <c:axId val="34331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333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Revenue &amp; Profit!PivotTable13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Year-wise</a:t>
            </a:r>
            <a:r>
              <a:rPr lang="en-US" baseline="0">
                <a:solidFill>
                  <a:schemeClr val="bg1"/>
                </a:solidFill>
              </a:rPr>
              <a:t> Revenue &amp; Profit</a:t>
            </a:r>
            <a:endParaRPr lang="en-US">
              <a:solidFill>
                <a:schemeClr val="bg1"/>
              </a:solidFill>
            </a:endParaRPr>
          </a:p>
        </c:rich>
      </c:tx>
      <c:layout>
        <c:manualLayout>
          <c:xMode val="edge"/>
          <c:yMode val="edge"/>
          <c:x val="0.3396456692913385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Revenue &amp; Profit'!$B$3</c:f>
              <c:strCache>
                <c:ptCount val="1"/>
                <c:pt idx="0">
                  <c:v>Sum of Revenue (BDT Cr)</c:v>
                </c:pt>
              </c:strCache>
            </c:strRef>
          </c:tx>
          <c:spPr>
            <a:solidFill>
              <a:schemeClr val="accent1"/>
            </a:solidFill>
            <a:ln>
              <a:noFill/>
            </a:ln>
            <a:effectLst/>
          </c:spPr>
          <c:invertIfNegative val="0"/>
          <c:cat>
            <c:strRef>
              <c:f>'Year-wise Revenue &amp; Profit'!$A$4:$A$9</c:f>
              <c:strCache>
                <c:ptCount val="5"/>
                <c:pt idx="0">
                  <c:v>2020</c:v>
                </c:pt>
                <c:pt idx="1">
                  <c:v>2021</c:v>
                </c:pt>
                <c:pt idx="2">
                  <c:v>2022</c:v>
                </c:pt>
                <c:pt idx="3">
                  <c:v>2023</c:v>
                </c:pt>
                <c:pt idx="4">
                  <c:v>2024</c:v>
                </c:pt>
              </c:strCache>
            </c:strRef>
          </c:cat>
          <c:val>
            <c:numRef>
              <c:f>'Year-wise Revenue &amp; Profit'!$B$4:$B$9</c:f>
              <c:numCache>
                <c:formatCode>General</c:formatCode>
                <c:ptCount val="5"/>
                <c:pt idx="0">
                  <c:v>26881</c:v>
                </c:pt>
                <c:pt idx="1">
                  <c:v>27946</c:v>
                </c:pt>
                <c:pt idx="2">
                  <c:v>27662</c:v>
                </c:pt>
                <c:pt idx="3">
                  <c:v>27355</c:v>
                </c:pt>
                <c:pt idx="4">
                  <c:v>25456</c:v>
                </c:pt>
              </c:numCache>
            </c:numRef>
          </c:val>
          <c:extLst>
            <c:ext xmlns:c16="http://schemas.microsoft.com/office/drawing/2014/chart" uri="{C3380CC4-5D6E-409C-BE32-E72D297353CC}">
              <c16:uniqueId val="{00000000-62FA-4CDC-8E37-D0C544F34AB6}"/>
            </c:ext>
          </c:extLst>
        </c:ser>
        <c:dLbls>
          <c:showLegendKey val="0"/>
          <c:showVal val="0"/>
          <c:showCatName val="0"/>
          <c:showSerName val="0"/>
          <c:showPercent val="0"/>
          <c:showBubbleSize val="0"/>
        </c:dLbls>
        <c:gapWidth val="219"/>
        <c:overlap val="-27"/>
        <c:axId val="399436336"/>
        <c:axId val="399423856"/>
      </c:barChart>
      <c:lineChart>
        <c:grouping val="standard"/>
        <c:varyColors val="0"/>
        <c:ser>
          <c:idx val="1"/>
          <c:order val="1"/>
          <c:tx>
            <c:strRef>
              <c:f>'Year-wise Revenue &amp; Profit'!$C$3</c:f>
              <c:strCache>
                <c:ptCount val="1"/>
                <c:pt idx="0">
                  <c:v>Sum of Profit (BDT Cr)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'Year-wise Revenue &amp; Profit'!$A$4:$A$9</c:f>
              <c:strCache>
                <c:ptCount val="5"/>
                <c:pt idx="0">
                  <c:v>2020</c:v>
                </c:pt>
                <c:pt idx="1">
                  <c:v>2021</c:v>
                </c:pt>
                <c:pt idx="2">
                  <c:v>2022</c:v>
                </c:pt>
                <c:pt idx="3">
                  <c:v>2023</c:v>
                </c:pt>
                <c:pt idx="4">
                  <c:v>2024</c:v>
                </c:pt>
              </c:strCache>
            </c:strRef>
          </c:cat>
          <c:val>
            <c:numRef>
              <c:f>'Year-wise Revenue &amp; Profit'!$C$4:$C$9</c:f>
              <c:numCache>
                <c:formatCode>General</c:formatCode>
                <c:ptCount val="5"/>
                <c:pt idx="0">
                  <c:v>7409</c:v>
                </c:pt>
                <c:pt idx="1">
                  <c:v>8219</c:v>
                </c:pt>
                <c:pt idx="2">
                  <c:v>7686</c:v>
                </c:pt>
                <c:pt idx="3">
                  <c:v>7585</c:v>
                </c:pt>
                <c:pt idx="4">
                  <c:v>7789</c:v>
                </c:pt>
              </c:numCache>
            </c:numRef>
          </c:val>
          <c:smooth val="0"/>
          <c:extLst>
            <c:ext xmlns:c16="http://schemas.microsoft.com/office/drawing/2014/chart" uri="{C3380CC4-5D6E-409C-BE32-E72D297353CC}">
              <c16:uniqueId val="{00000001-62FA-4CDC-8E37-D0C544F34AB6}"/>
            </c:ext>
          </c:extLst>
        </c:ser>
        <c:dLbls>
          <c:showLegendKey val="0"/>
          <c:showVal val="0"/>
          <c:showCatName val="0"/>
          <c:showSerName val="0"/>
          <c:showPercent val="0"/>
          <c:showBubbleSize val="0"/>
        </c:dLbls>
        <c:marker val="1"/>
        <c:smooth val="0"/>
        <c:axId val="399436336"/>
        <c:axId val="399423856"/>
      </c:lineChart>
      <c:catAx>
        <c:axId val="39943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9423856"/>
        <c:crosses val="autoZero"/>
        <c:auto val="1"/>
        <c:lblAlgn val="ctr"/>
        <c:lblOffset val="100"/>
        <c:noMultiLvlLbl val="0"/>
      </c:catAx>
      <c:valAx>
        <c:axId val="39942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9436336"/>
        <c:crosses val="autoZero"/>
        <c:crossBetween val="between"/>
      </c:valAx>
      <c:spPr>
        <a:noFill/>
        <a:ln>
          <a:noFill/>
        </a:ln>
        <a:effectLst/>
      </c:spPr>
    </c:plotArea>
    <c:legend>
      <c:legendPos val="r"/>
      <c:layout>
        <c:manualLayout>
          <c:xMode val="edge"/>
          <c:yMode val="edge"/>
          <c:x val="0.70678416977237279"/>
          <c:y val="0.47872134733158345"/>
          <c:w val="0.28372591326440066"/>
          <c:h val="0.18750131233595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1.xlsx]Profit by Order Method !PivotTable16</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 by</a:t>
            </a:r>
            <a:r>
              <a:rPr lang="en-US" baseline="0">
                <a:solidFill>
                  <a:schemeClr val="bg1"/>
                </a:solidFill>
              </a:rPr>
              <a:t> </a:t>
            </a:r>
            <a:r>
              <a:rPr lang="en-US">
                <a:solidFill>
                  <a:schemeClr val="bg1"/>
                </a:solidFill>
              </a:rPr>
              <a:t>Order</a:t>
            </a:r>
            <a:r>
              <a:rPr lang="en-US" baseline="0">
                <a:solidFill>
                  <a:schemeClr val="bg1"/>
                </a:solidFill>
              </a:rPr>
              <a:t> Method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79451006124234"/>
              <c:y val="-1.6513560804899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4845013123359579"/>
              <c:y val="-8.27719451735199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579451006124234"/>
              <c:y val="-1.6513560804899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845013123359579"/>
              <c:y val="-8.27719451735199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79451006124234"/>
              <c:y val="-1.6513560804899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845013123359579"/>
              <c:y val="-8.27719451735199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by Order Method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E3-441C-A36D-0EC8EA306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E3-441C-A36D-0EC8EA306338}"/>
              </c:ext>
            </c:extLst>
          </c:dPt>
          <c:dLbls>
            <c:dLbl>
              <c:idx val="0"/>
              <c:layout>
                <c:manualLayout>
                  <c:x val="-0.12579451006124234"/>
                  <c:y val="-1.65135608048993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3-441C-A36D-0EC8EA306338}"/>
                </c:ext>
              </c:extLst>
            </c:dLbl>
            <c:dLbl>
              <c:idx val="1"/>
              <c:layout>
                <c:manualLayout>
                  <c:x val="0.14845013123359579"/>
                  <c:y val="-8.277194517351997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E3-441C-A36D-0EC8EA3063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Order Method '!$A$4:$A$6</c:f>
              <c:strCache>
                <c:ptCount val="2"/>
                <c:pt idx="0">
                  <c:v>Offline</c:v>
                </c:pt>
                <c:pt idx="1">
                  <c:v>Online</c:v>
                </c:pt>
              </c:strCache>
            </c:strRef>
          </c:cat>
          <c:val>
            <c:numRef>
              <c:f>'Profit by Order Method '!$B$4:$B$6</c:f>
              <c:numCache>
                <c:formatCode>General</c:formatCode>
                <c:ptCount val="2"/>
                <c:pt idx="0">
                  <c:v>19534</c:v>
                </c:pt>
                <c:pt idx="1">
                  <c:v>19154</c:v>
                </c:pt>
              </c:numCache>
            </c:numRef>
          </c:val>
          <c:extLst>
            <c:ext xmlns:c16="http://schemas.microsoft.com/office/drawing/2014/chart" uri="{C3380CC4-5D6E-409C-BE32-E72D297353CC}">
              <c16:uniqueId val="{00000004-A6E3-441C-A36D-0EC8EA3063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1.xlsx]Pivot Table!PivotTable1</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Count of Type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Table'!$B$2:$B$25</c:f>
              <c:numCache>
                <c:formatCode>General</c:formatCode>
                <c:ptCount val="18"/>
                <c:pt idx="0">
                  <c:v>1</c:v>
                </c:pt>
                <c:pt idx="1">
                  <c:v>2</c:v>
                </c:pt>
                <c:pt idx="2">
                  <c:v>1</c:v>
                </c:pt>
                <c:pt idx="3">
                  <c:v>1</c:v>
                </c:pt>
                <c:pt idx="4">
                  <c:v>1</c:v>
                </c:pt>
                <c:pt idx="5">
                  <c:v>1</c:v>
                </c:pt>
                <c:pt idx="6">
                  <c:v>1</c:v>
                </c:pt>
                <c:pt idx="7">
                  <c:v>1</c:v>
                </c:pt>
                <c:pt idx="8">
                  <c:v>1</c:v>
                </c:pt>
                <c:pt idx="9">
                  <c:v>1</c:v>
                </c:pt>
                <c:pt idx="10">
                  <c:v>1</c:v>
                </c:pt>
                <c:pt idx="11">
                  <c:v>1</c:v>
                </c:pt>
                <c:pt idx="12">
                  <c:v>2</c:v>
                </c:pt>
                <c:pt idx="13">
                  <c:v>1</c:v>
                </c:pt>
                <c:pt idx="14">
                  <c:v>1</c:v>
                </c:pt>
                <c:pt idx="15">
                  <c:v>1</c:v>
                </c:pt>
                <c:pt idx="16">
                  <c:v>1</c:v>
                </c:pt>
                <c:pt idx="17">
                  <c:v>1</c:v>
                </c:pt>
              </c:numCache>
            </c:numRef>
          </c:val>
          <c:extLst>
            <c:ext xmlns:c16="http://schemas.microsoft.com/office/drawing/2014/chart" uri="{C3380CC4-5D6E-409C-BE32-E72D297353CC}">
              <c16:uniqueId val="{00000000-08A6-49E3-B6F4-13ECA596A810}"/>
            </c:ext>
          </c:extLst>
        </c:ser>
        <c:ser>
          <c:idx val="1"/>
          <c:order val="1"/>
          <c:tx>
            <c:strRef>
              <c:f>'Pivot Table'!$C$1</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Table'!$C$2:$C$25</c:f>
              <c:numCache>
                <c:formatCode>General</c:formatCode>
                <c:ptCount val="18"/>
                <c:pt idx="0">
                  <c:v>1</c:v>
                </c:pt>
                <c:pt idx="1">
                  <c:v>8</c:v>
                </c:pt>
                <c:pt idx="2">
                  <c:v>1</c:v>
                </c:pt>
                <c:pt idx="3">
                  <c:v>2</c:v>
                </c:pt>
                <c:pt idx="4">
                  <c:v>4</c:v>
                </c:pt>
                <c:pt idx="5">
                  <c:v>5</c:v>
                </c:pt>
                <c:pt idx="6">
                  <c:v>4</c:v>
                </c:pt>
                <c:pt idx="7">
                  <c:v>7</c:v>
                </c:pt>
                <c:pt idx="8">
                  <c:v>3</c:v>
                </c:pt>
                <c:pt idx="9">
                  <c:v>5</c:v>
                </c:pt>
                <c:pt idx="10">
                  <c:v>3</c:v>
                </c:pt>
                <c:pt idx="11">
                  <c:v>4</c:v>
                </c:pt>
                <c:pt idx="12">
                  <c:v>7</c:v>
                </c:pt>
                <c:pt idx="13">
                  <c:v>6</c:v>
                </c:pt>
                <c:pt idx="14">
                  <c:v>5</c:v>
                </c:pt>
                <c:pt idx="15">
                  <c:v>2</c:v>
                </c:pt>
                <c:pt idx="16">
                  <c:v>2</c:v>
                </c:pt>
                <c:pt idx="17">
                  <c:v>4</c:v>
                </c:pt>
              </c:numCache>
            </c:numRef>
          </c:val>
          <c:extLst>
            <c:ext xmlns:c16="http://schemas.microsoft.com/office/drawing/2014/chart" uri="{C3380CC4-5D6E-409C-BE32-E72D297353CC}">
              <c16:uniqueId val="{00000001-08A6-49E3-B6F4-13ECA596A810}"/>
            </c:ext>
          </c:extLst>
        </c:ser>
        <c:ser>
          <c:idx val="2"/>
          <c:order val="2"/>
          <c:tx>
            <c:strRef>
              <c:f>'Pivot Table'!$D$1</c:f>
              <c:strCache>
                <c:ptCount val="1"/>
                <c:pt idx="0">
                  <c:v>Sum of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Table'!$D$2:$D$25</c:f>
              <c:numCache>
                <c:formatCode>General</c:formatCode>
                <c:ptCount val="18"/>
                <c:pt idx="0">
                  <c:v>80000</c:v>
                </c:pt>
                <c:pt idx="1">
                  <c:v>500000</c:v>
                </c:pt>
                <c:pt idx="2">
                  <c:v>120000</c:v>
                </c:pt>
                <c:pt idx="3">
                  <c:v>150000</c:v>
                </c:pt>
                <c:pt idx="4">
                  <c:v>350000</c:v>
                </c:pt>
                <c:pt idx="5">
                  <c:v>40000</c:v>
                </c:pt>
                <c:pt idx="6">
                  <c:v>220000</c:v>
                </c:pt>
                <c:pt idx="7">
                  <c:v>120000</c:v>
                </c:pt>
                <c:pt idx="8">
                  <c:v>35000</c:v>
                </c:pt>
                <c:pt idx="9">
                  <c:v>85000</c:v>
                </c:pt>
                <c:pt idx="10">
                  <c:v>35000</c:v>
                </c:pt>
                <c:pt idx="11">
                  <c:v>85000</c:v>
                </c:pt>
                <c:pt idx="12">
                  <c:v>550000</c:v>
                </c:pt>
                <c:pt idx="13">
                  <c:v>150000</c:v>
                </c:pt>
                <c:pt idx="14">
                  <c:v>125000</c:v>
                </c:pt>
                <c:pt idx="15">
                  <c:v>50000</c:v>
                </c:pt>
                <c:pt idx="16">
                  <c:v>350000</c:v>
                </c:pt>
                <c:pt idx="17">
                  <c:v>170000</c:v>
                </c:pt>
              </c:numCache>
            </c:numRef>
          </c:val>
          <c:extLst>
            <c:ext xmlns:c16="http://schemas.microsoft.com/office/drawing/2014/chart" uri="{C3380CC4-5D6E-409C-BE32-E72D297353CC}">
              <c16:uniqueId val="{00000004-08A6-49E3-B6F4-13ECA596A810}"/>
            </c:ext>
          </c:extLst>
        </c:ser>
        <c:dLbls>
          <c:showLegendKey val="0"/>
          <c:showVal val="0"/>
          <c:showCatName val="0"/>
          <c:showSerName val="0"/>
          <c:showPercent val="0"/>
          <c:showBubbleSize val="0"/>
        </c:dLbls>
        <c:gapWidth val="100"/>
        <c:overlap val="-24"/>
        <c:axId val="291734608"/>
        <c:axId val="291739408"/>
      </c:barChart>
      <c:catAx>
        <c:axId val="291734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739408"/>
        <c:crosses val="autoZero"/>
        <c:auto val="1"/>
        <c:lblAlgn val="ctr"/>
        <c:lblOffset val="100"/>
        <c:noMultiLvlLbl val="0"/>
      </c:catAx>
      <c:valAx>
        <c:axId val="291739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73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1.xlsx]Pivot Table!PivotTable1</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Count of Type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Table'!$B$2:$B$25</c:f>
              <c:numCache>
                <c:formatCode>General</c:formatCode>
                <c:ptCount val="18"/>
                <c:pt idx="0">
                  <c:v>1</c:v>
                </c:pt>
                <c:pt idx="1">
                  <c:v>2</c:v>
                </c:pt>
                <c:pt idx="2">
                  <c:v>1</c:v>
                </c:pt>
                <c:pt idx="3">
                  <c:v>1</c:v>
                </c:pt>
                <c:pt idx="4">
                  <c:v>1</c:v>
                </c:pt>
                <c:pt idx="5">
                  <c:v>1</c:v>
                </c:pt>
                <c:pt idx="6">
                  <c:v>1</c:v>
                </c:pt>
                <c:pt idx="7">
                  <c:v>1</c:v>
                </c:pt>
                <c:pt idx="8">
                  <c:v>1</c:v>
                </c:pt>
                <c:pt idx="9">
                  <c:v>1</c:v>
                </c:pt>
                <c:pt idx="10">
                  <c:v>1</c:v>
                </c:pt>
                <c:pt idx="11">
                  <c:v>1</c:v>
                </c:pt>
                <c:pt idx="12">
                  <c:v>2</c:v>
                </c:pt>
                <c:pt idx="13">
                  <c:v>1</c:v>
                </c:pt>
                <c:pt idx="14">
                  <c:v>1</c:v>
                </c:pt>
                <c:pt idx="15">
                  <c:v>1</c:v>
                </c:pt>
                <c:pt idx="16">
                  <c:v>1</c:v>
                </c:pt>
                <c:pt idx="17">
                  <c:v>1</c:v>
                </c:pt>
              </c:numCache>
            </c:numRef>
          </c:val>
          <c:extLst>
            <c:ext xmlns:c16="http://schemas.microsoft.com/office/drawing/2014/chart" uri="{C3380CC4-5D6E-409C-BE32-E72D297353CC}">
              <c16:uniqueId val="{00000000-0F28-4500-B1A5-6F09D3488E59}"/>
            </c:ext>
          </c:extLst>
        </c:ser>
        <c:ser>
          <c:idx val="1"/>
          <c:order val="1"/>
          <c:tx>
            <c:strRef>
              <c:f>'Pivot Table'!$C$1</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Table'!$C$2:$C$25</c:f>
              <c:numCache>
                <c:formatCode>General</c:formatCode>
                <c:ptCount val="18"/>
                <c:pt idx="0">
                  <c:v>1</c:v>
                </c:pt>
                <c:pt idx="1">
                  <c:v>8</c:v>
                </c:pt>
                <c:pt idx="2">
                  <c:v>1</c:v>
                </c:pt>
                <c:pt idx="3">
                  <c:v>2</c:v>
                </c:pt>
                <c:pt idx="4">
                  <c:v>4</c:v>
                </c:pt>
                <c:pt idx="5">
                  <c:v>5</c:v>
                </c:pt>
                <c:pt idx="6">
                  <c:v>4</c:v>
                </c:pt>
                <c:pt idx="7">
                  <c:v>7</c:v>
                </c:pt>
                <c:pt idx="8">
                  <c:v>3</c:v>
                </c:pt>
                <c:pt idx="9">
                  <c:v>5</c:v>
                </c:pt>
                <c:pt idx="10">
                  <c:v>3</c:v>
                </c:pt>
                <c:pt idx="11">
                  <c:v>4</c:v>
                </c:pt>
                <c:pt idx="12">
                  <c:v>7</c:v>
                </c:pt>
                <c:pt idx="13">
                  <c:v>6</c:v>
                </c:pt>
                <c:pt idx="14">
                  <c:v>5</c:v>
                </c:pt>
                <c:pt idx="15">
                  <c:v>2</c:v>
                </c:pt>
                <c:pt idx="16">
                  <c:v>2</c:v>
                </c:pt>
                <c:pt idx="17">
                  <c:v>4</c:v>
                </c:pt>
              </c:numCache>
            </c:numRef>
          </c:val>
          <c:extLst>
            <c:ext xmlns:c16="http://schemas.microsoft.com/office/drawing/2014/chart" uri="{C3380CC4-5D6E-409C-BE32-E72D297353CC}">
              <c16:uniqueId val="{00000001-0F28-4500-B1A5-6F09D3488E59}"/>
            </c:ext>
          </c:extLst>
        </c:ser>
        <c:ser>
          <c:idx val="2"/>
          <c:order val="2"/>
          <c:tx>
            <c:strRef>
              <c:f>'Pivot Table'!$D$1</c:f>
              <c:strCache>
                <c:ptCount val="1"/>
                <c:pt idx="0">
                  <c:v>Sum of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Table'!$D$2:$D$25</c:f>
              <c:numCache>
                <c:formatCode>General</c:formatCode>
                <c:ptCount val="18"/>
                <c:pt idx="0">
                  <c:v>80000</c:v>
                </c:pt>
                <c:pt idx="1">
                  <c:v>500000</c:v>
                </c:pt>
                <c:pt idx="2">
                  <c:v>120000</c:v>
                </c:pt>
                <c:pt idx="3">
                  <c:v>150000</c:v>
                </c:pt>
                <c:pt idx="4">
                  <c:v>350000</c:v>
                </c:pt>
                <c:pt idx="5">
                  <c:v>40000</c:v>
                </c:pt>
                <c:pt idx="6">
                  <c:v>220000</c:v>
                </c:pt>
                <c:pt idx="7">
                  <c:v>120000</c:v>
                </c:pt>
                <c:pt idx="8">
                  <c:v>35000</c:v>
                </c:pt>
                <c:pt idx="9">
                  <c:v>85000</c:v>
                </c:pt>
                <c:pt idx="10">
                  <c:v>35000</c:v>
                </c:pt>
                <c:pt idx="11">
                  <c:v>85000</c:v>
                </c:pt>
                <c:pt idx="12">
                  <c:v>550000</c:v>
                </c:pt>
                <c:pt idx="13">
                  <c:v>150000</c:v>
                </c:pt>
                <c:pt idx="14">
                  <c:v>125000</c:v>
                </c:pt>
                <c:pt idx="15">
                  <c:v>50000</c:v>
                </c:pt>
                <c:pt idx="16">
                  <c:v>350000</c:v>
                </c:pt>
                <c:pt idx="17">
                  <c:v>170000</c:v>
                </c:pt>
              </c:numCache>
            </c:numRef>
          </c:val>
          <c:extLst>
            <c:ext xmlns:c16="http://schemas.microsoft.com/office/drawing/2014/chart" uri="{C3380CC4-5D6E-409C-BE32-E72D297353CC}">
              <c16:uniqueId val="{00000002-0F28-4500-B1A5-6F09D3488E59}"/>
            </c:ext>
          </c:extLst>
        </c:ser>
        <c:dLbls>
          <c:showLegendKey val="0"/>
          <c:showVal val="0"/>
          <c:showCatName val="0"/>
          <c:showSerName val="0"/>
          <c:showPercent val="0"/>
          <c:showBubbleSize val="0"/>
        </c:dLbls>
        <c:gapWidth val="100"/>
        <c:overlap val="-24"/>
        <c:axId val="450707584"/>
        <c:axId val="450722464"/>
      </c:barChart>
      <c:catAx>
        <c:axId val="450707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722464"/>
        <c:crosses val="autoZero"/>
        <c:auto val="1"/>
        <c:lblAlgn val="ctr"/>
        <c:lblOffset val="100"/>
        <c:noMultiLvlLbl val="0"/>
      </c:catAx>
      <c:valAx>
        <c:axId val="450722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7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1.xlsx]Pivot Table!PivotTable1</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c:f>
              <c:strCache>
                <c:ptCount val="1"/>
                <c:pt idx="0">
                  <c:v>Count of Type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85-468E-BC88-EBDF6A6840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85-468E-BC88-EBDF6A6840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85-468E-BC88-EBDF6A6840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A85-468E-BC88-EBDF6A6840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A85-468E-BC88-EBDF6A68400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A85-468E-BC88-EBDF6A68400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A85-468E-BC88-EBDF6A68400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A85-468E-BC88-EBDF6A68400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A85-468E-BC88-EBDF6A68400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A85-468E-BC88-EBDF6A68400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A85-468E-BC88-EBDF6A68400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A85-468E-BC88-EBDF6A684001}"/>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A85-468E-BC88-EBDF6A684001}"/>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A85-468E-BC88-EBDF6A684001}"/>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A85-468E-BC88-EBDF6A684001}"/>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A85-468E-BC88-EBDF6A684001}"/>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A85-468E-BC88-EBDF6A684001}"/>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A85-468E-BC88-EBDF6A684001}"/>
              </c:ext>
            </c:extLst>
          </c:dPt>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Table'!$B$2:$B$25</c:f>
              <c:numCache>
                <c:formatCode>General</c:formatCode>
                <c:ptCount val="18"/>
                <c:pt idx="0">
                  <c:v>1</c:v>
                </c:pt>
                <c:pt idx="1">
                  <c:v>2</c:v>
                </c:pt>
                <c:pt idx="2">
                  <c:v>1</c:v>
                </c:pt>
                <c:pt idx="3">
                  <c:v>1</c:v>
                </c:pt>
                <c:pt idx="4">
                  <c:v>1</c:v>
                </c:pt>
                <c:pt idx="5">
                  <c:v>1</c:v>
                </c:pt>
                <c:pt idx="6">
                  <c:v>1</c:v>
                </c:pt>
                <c:pt idx="7">
                  <c:v>1</c:v>
                </c:pt>
                <c:pt idx="8">
                  <c:v>1</c:v>
                </c:pt>
                <c:pt idx="9">
                  <c:v>1</c:v>
                </c:pt>
                <c:pt idx="10">
                  <c:v>1</c:v>
                </c:pt>
                <c:pt idx="11">
                  <c:v>1</c:v>
                </c:pt>
                <c:pt idx="12">
                  <c:v>2</c:v>
                </c:pt>
                <c:pt idx="13">
                  <c:v>1</c:v>
                </c:pt>
                <c:pt idx="14">
                  <c:v>1</c:v>
                </c:pt>
                <c:pt idx="15">
                  <c:v>1</c:v>
                </c:pt>
                <c:pt idx="16">
                  <c:v>1</c:v>
                </c:pt>
                <c:pt idx="17">
                  <c:v>1</c:v>
                </c:pt>
              </c:numCache>
            </c:numRef>
          </c:val>
          <c:extLst>
            <c:ext xmlns:c16="http://schemas.microsoft.com/office/drawing/2014/chart" uri="{C3380CC4-5D6E-409C-BE32-E72D297353CC}">
              <c16:uniqueId val="{00000024-AA85-468E-BC88-EBDF6A684001}"/>
            </c:ext>
          </c:extLst>
        </c:ser>
        <c:ser>
          <c:idx val="1"/>
          <c:order val="1"/>
          <c:tx>
            <c:strRef>
              <c:f>'Pivot Table'!$C$1</c:f>
              <c:strCache>
                <c:ptCount val="1"/>
                <c:pt idx="0">
                  <c:v>Sum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AA85-468E-BC88-EBDF6A6840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AA85-468E-BC88-EBDF6A6840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AA85-468E-BC88-EBDF6A6840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AA85-468E-BC88-EBDF6A6840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AA85-468E-BC88-EBDF6A68400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AA85-468E-BC88-EBDF6A68400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AA85-468E-BC88-EBDF6A68400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4-AA85-468E-BC88-EBDF6A68400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6-AA85-468E-BC88-EBDF6A68400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AA85-468E-BC88-EBDF6A68400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A-AA85-468E-BC88-EBDF6A68400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C-AA85-468E-BC88-EBDF6A684001}"/>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E-AA85-468E-BC88-EBDF6A684001}"/>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0-AA85-468E-BC88-EBDF6A684001}"/>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AA85-468E-BC88-EBDF6A684001}"/>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AA85-468E-BC88-EBDF6A684001}"/>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6-AA85-468E-BC88-EBDF6A684001}"/>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8-AA85-468E-BC88-EBDF6A684001}"/>
              </c:ext>
            </c:extLst>
          </c:dPt>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Table'!$C$2:$C$25</c:f>
              <c:numCache>
                <c:formatCode>General</c:formatCode>
                <c:ptCount val="18"/>
                <c:pt idx="0">
                  <c:v>1</c:v>
                </c:pt>
                <c:pt idx="1">
                  <c:v>8</c:v>
                </c:pt>
                <c:pt idx="2">
                  <c:v>1</c:v>
                </c:pt>
                <c:pt idx="3">
                  <c:v>2</c:v>
                </c:pt>
                <c:pt idx="4">
                  <c:v>4</c:v>
                </c:pt>
                <c:pt idx="5">
                  <c:v>5</c:v>
                </c:pt>
                <c:pt idx="6">
                  <c:v>4</c:v>
                </c:pt>
                <c:pt idx="7">
                  <c:v>7</c:v>
                </c:pt>
                <c:pt idx="8">
                  <c:v>3</c:v>
                </c:pt>
                <c:pt idx="9">
                  <c:v>5</c:v>
                </c:pt>
                <c:pt idx="10">
                  <c:v>3</c:v>
                </c:pt>
                <c:pt idx="11">
                  <c:v>4</c:v>
                </c:pt>
                <c:pt idx="12">
                  <c:v>7</c:v>
                </c:pt>
                <c:pt idx="13">
                  <c:v>6</c:v>
                </c:pt>
                <c:pt idx="14">
                  <c:v>5</c:v>
                </c:pt>
                <c:pt idx="15">
                  <c:v>2</c:v>
                </c:pt>
                <c:pt idx="16">
                  <c:v>2</c:v>
                </c:pt>
                <c:pt idx="17">
                  <c:v>4</c:v>
                </c:pt>
              </c:numCache>
            </c:numRef>
          </c:val>
          <c:extLst>
            <c:ext xmlns:c16="http://schemas.microsoft.com/office/drawing/2014/chart" uri="{C3380CC4-5D6E-409C-BE32-E72D297353CC}">
              <c16:uniqueId val="{00000049-AA85-468E-BC88-EBDF6A684001}"/>
            </c:ext>
          </c:extLst>
        </c:ser>
        <c:ser>
          <c:idx val="2"/>
          <c:order val="2"/>
          <c:tx>
            <c:strRef>
              <c:f>'Pivot Table'!$D$1</c:f>
              <c:strCache>
                <c:ptCount val="1"/>
                <c:pt idx="0">
                  <c:v>Sum of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AA85-468E-BC88-EBDF6A6840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AA85-468E-BC88-EBDF6A6840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AA85-468E-BC88-EBDF6A6840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AA85-468E-BC88-EBDF6A6840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AA85-468E-BC88-EBDF6A68400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AA85-468E-BC88-EBDF6A68400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AA85-468E-BC88-EBDF6A68400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AA85-468E-BC88-EBDF6A68400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AA85-468E-BC88-EBDF6A68400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AA85-468E-BC88-EBDF6A68400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AA85-468E-BC88-EBDF6A68400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AA85-468E-BC88-EBDF6A684001}"/>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AA85-468E-BC88-EBDF6A684001}"/>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AA85-468E-BC88-EBDF6A684001}"/>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AA85-468E-BC88-EBDF6A684001}"/>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AA85-468E-BC88-EBDF6A684001}"/>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AA85-468E-BC88-EBDF6A684001}"/>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AA85-468E-BC88-EBDF6A684001}"/>
              </c:ext>
            </c:extLst>
          </c:dPt>
          <c:cat>
            <c:multiLvlStrRef>
              <c:f>'Pivot Table'!$A$2:$A$25</c:f>
              <c:multiLvlStrCache>
                <c:ptCount val="18"/>
                <c:lvl>
                  <c:pt idx="0">
                    <c:v>Hyundai</c:v>
                  </c:pt>
                  <c:pt idx="1">
                    <c:v>Lamborghini</c:v>
                  </c:pt>
                  <c:pt idx="2">
                    <c:v>Mercedes</c:v>
                  </c:pt>
                  <c:pt idx="3">
                    <c:v>BMW</c:v>
                  </c:pt>
                  <c:pt idx="4">
                    <c:v>Ford</c:v>
                  </c:pt>
                  <c:pt idx="5">
                    <c:v>Hyundai</c:v>
                  </c:pt>
                  <c:pt idx="6">
                    <c:v>Nissan</c:v>
                  </c:pt>
                  <c:pt idx="7">
                    <c:v>BMW</c:v>
                  </c:pt>
                  <c:pt idx="8">
                    <c:v>Ford</c:v>
                  </c:pt>
                  <c:pt idx="9">
                    <c:v>Hyundai</c:v>
                  </c:pt>
                  <c:pt idx="10">
                    <c:v>Suzuki</c:v>
                  </c:pt>
                  <c:pt idx="11">
                    <c:v>BMW</c:v>
                  </c:pt>
                  <c:pt idx="12">
                    <c:v>Ferrari</c:v>
                  </c:pt>
                  <c:pt idx="13">
                    <c:v>Nissan</c:v>
                  </c:pt>
                  <c:pt idx="14">
                    <c:v>Ferrari</c:v>
                  </c:pt>
                  <c:pt idx="15">
                    <c:v>Ford</c:v>
                  </c:pt>
                  <c:pt idx="16">
                    <c:v>Lamborghini</c:v>
                  </c:pt>
                  <c:pt idx="17">
                    <c:v>Mercedes</c:v>
                  </c:pt>
                </c:lvl>
                <c:lvl>
                  <c:pt idx="0">
                    <c:v>2017</c:v>
                  </c:pt>
                  <c:pt idx="3">
                    <c:v>2018</c:v>
                  </c:pt>
                  <c:pt idx="7">
                    <c:v>2019</c:v>
                  </c:pt>
                  <c:pt idx="11">
                    <c:v>2020</c:v>
                  </c:pt>
                  <c:pt idx="14">
                    <c:v>2021</c:v>
                  </c:pt>
                </c:lvl>
              </c:multiLvlStrCache>
            </c:multiLvlStrRef>
          </c:cat>
          <c:val>
            <c:numRef>
              <c:f>'Pivot Table'!$D$2:$D$25</c:f>
              <c:numCache>
                <c:formatCode>General</c:formatCode>
                <c:ptCount val="18"/>
                <c:pt idx="0">
                  <c:v>80000</c:v>
                </c:pt>
                <c:pt idx="1">
                  <c:v>500000</c:v>
                </c:pt>
                <c:pt idx="2">
                  <c:v>120000</c:v>
                </c:pt>
                <c:pt idx="3">
                  <c:v>150000</c:v>
                </c:pt>
                <c:pt idx="4">
                  <c:v>350000</c:v>
                </c:pt>
                <c:pt idx="5">
                  <c:v>40000</c:v>
                </c:pt>
                <c:pt idx="6">
                  <c:v>220000</c:v>
                </c:pt>
                <c:pt idx="7">
                  <c:v>120000</c:v>
                </c:pt>
                <c:pt idx="8">
                  <c:v>35000</c:v>
                </c:pt>
                <c:pt idx="9">
                  <c:v>85000</c:v>
                </c:pt>
                <c:pt idx="10">
                  <c:v>35000</c:v>
                </c:pt>
                <c:pt idx="11">
                  <c:v>85000</c:v>
                </c:pt>
                <c:pt idx="12">
                  <c:v>550000</c:v>
                </c:pt>
                <c:pt idx="13">
                  <c:v>150000</c:v>
                </c:pt>
                <c:pt idx="14">
                  <c:v>125000</c:v>
                </c:pt>
                <c:pt idx="15">
                  <c:v>50000</c:v>
                </c:pt>
                <c:pt idx="16">
                  <c:v>350000</c:v>
                </c:pt>
                <c:pt idx="17">
                  <c:v>170000</c:v>
                </c:pt>
              </c:numCache>
            </c:numRef>
          </c:val>
          <c:extLst>
            <c:ext xmlns:c16="http://schemas.microsoft.com/office/drawing/2014/chart" uri="{C3380CC4-5D6E-409C-BE32-E72D297353CC}">
              <c16:uniqueId val="{0000006E-AA85-468E-BC88-EBDF6A6840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4856481481481484"/>
          <c:w val="0.86497462817147852"/>
          <c:h val="0.72125801983085447"/>
        </c:manualLayout>
      </c:layout>
      <c:barChart>
        <c:barDir val="col"/>
        <c:grouping val="clustered"/>
        <c:varyColors val="0"/>
        <c:ser>
          <c:idx val="0"/>
          <c:order val="0"/>
          <c:tx>
            <c:strRef>
              <c:f>'Year-wise Revenue'!$B$3</c:f>
              <c:strCache>
                <c:ptCount val="1"/>
                <c:pt idx="0">
                  <c:v>Total</c:v>
                </c:pt>
              </c:strCache>
            </c:strRef>
          </c:tx>
          <c:spPr>
            <a:solidFill>
              <a:schemeClr val="accent1"/>
            </a:solidFill>
            <a:ln>
              <a:noFill/>
            </a:ln>
            <a:effectLst/>
          </c:spPr>
          <c:invertIfNegative val="0"/>
          <c:cat>
            <c:strRef>
              <c:f>'Year-wise Revenue'!$A$4:$A$9</c:f>
              <c:strCache>
                <c:ptCount val="5"/>
                <c:pt idx="0">
                  <c:v>2020</c:v>
                </c:pt>
                <c:pt idx="1">
                  <c:v>2021</c:v>
                </c:pt>
                <c:pt idx="2">
                  <c:v>2022</c:v>
                </c:pt>
                <c:pt idx="3">
                  <c:v>2023</c:v>
                </c:pt>
                <c:pt idx="4">
                  <c:v>2024</c:v>
                </c:pt>
              </c:strCache>
            </c:strRef>
          </c:cat>
          <c:val>
            <c:numRef>
              <c:f>'Year-wise Revenue'!$B$4:$B$9</c:f>
              <c:numCache>
                <c:formatCode>General</c:formatCode>
                <c:ptCount val="5"/>
                <c:pt idx="0">
                  <c:v>26881</c:v>
                </c:pt>
                <c:pt idx="1">
                  <c:v>27946</c:v>
                </c:pt>
                <c:pt idx="2">
                  <c:v>27662</c:v>
                </c:pt>
                <c:pt idx="3">
                  <c:v>27355</c:v>
                </c:pt>
                <c:pt idx="4">
                  <c:v>25456</c:v>
                </c:pt>
              </c:numCache>
            </c:numRef>
          </c:val>
          <c:extLst>
            <c:ext xmlns:c16="http://schemas.microsoft.com/office/drawing/2014/chart" uri="{C3380CC4-5D6E-409C-BE32-E72D297353CC}">
              <c16:uniqueId val="{00000000-EFE2-48C7-BB85-479F6722BCC1}"/>
            </c:ext>
          </c:extLst>
        </c:ser>
        <c:dLbls>
          <c:showLegendKey val="0"/>
          <c:showVal val="0"/>
          <c:showCatName val="0"/>
          <c:showSerName val="0"/>
          <c:showPercent val="0"/>
          <c:showBubbleSize val="0"/>
        </c:dLbls>
        <c:gapWidth val="219"/>
        <c:overlap val="-27"/>
        <c:axId val="114690384"/>
        <c:axId val="114692304"/>
      </c:barChart>
      <c:catAx>
        <c:axId val="11469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2304"/>
        <c:crosses val="autoZero"/>
        <c:auto val="1"/>
        <c:lblAlgn val="ctr"/>
        <c:lblOffset val="100"/>
        <c:noMultiLvlLbl val="0"/>
      </c:catAx>
      <c:valAx>
        <c:axId val="1146923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Revenue &amp; Cost!PivotTable5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a:t>
            </a:r>
            <a:r>
              <a:rPr lang="en-US" baseline="0"/>
              <a:t> Revenue &amp;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Revenue &amp; Cost'!$B$3</c:f>
              <c:strCache>
                <c:ptCount val="1"/>
                <c:pt idx="0">
                  <c:v>Sum of Revenue (BDT Cr)</c:v>
                </c:pt>
              </c:strCache>
            </c:strRef>
          </c:tx>
          <c:spPr>
            <a:solidFill>
              <a:schemeClr val="accent1"/>
            </a:solidFill>
            <a:ln>
              <a:noFill/>
            </a:ln>
            <a:effectLst/>
          </c:spPr>
          <c:invertIfNegative val="0"/>
          <c:cat>
            <c:strRef>
              <c:f>'Year-wise Revenue &amp; Cost'!$A$4:$A$9</c:f>
              <c:strCache>
                <c:ptCount val="5"/>
                <c:pt idx="0">
                  <c:v>2020</c:v>
                </c:pt>
                <c:pt idx="1">
                  <c:v>2021</c:v>
                </c:pt>
                <c:pt idx="2">
                  <c:v>2022</c:v>
                </c:pt>
                <c:pt idx="3">
                  <c:v>2023</c:v>
                </c:pt>
                <c:pt idx="4">
                  <c:v>2024</c:v>
                </c:pt>
              </c:strCache>
            </c:strRef>
          </c:cat>
          <c:val>
            <c:numRef>
              <c:f>'Year-wise Revenue &amp; Cost'!$B$4:$B$9</c:f>
              <c:numCache>
                <c:formatCode>General</c:formatCode>
                <c:ptCount val="5"/>
                <c:pt idx="0">
                  <c:v>26881</c:v>
                </c:pt>
                <c:pt idx="1">
                  <c:v>27946</c:v>
                </c:pt>
                <c:pt idx="2">
                  <c:v>27662</c:v>
                </c:pt>
                <c:pt idx="3">
                  <c:v>27355</c:v>
                </c:pt>
                <c:pt idx="4">
                  <c:v>25456</c:v>
                </c:pt>
              </c:numCache>
            </c:numRef>
          </c:val>
          <c:extLst>
            <c:ext xmlns:c16="http://schemas.microsoft.com/office/drawing/2014/chart" uri="{C3380CC4-5D6E-409C-BE32-E72D297353CC}">
              <c16:uniqueId val="{00000000-DDE4-4161-9E3E-987F85B9487D}"/>
            </c:ext>
          </c:extLst>
        </c:ser>
        <c:dLbls>
          <c:showLegendKey val="0"/>
          <c:showVal val="0"/>
          <c:showCatName val="0"/>
          <c:showSerName val="0"/>
          <c:showPercent val="0"/>
          <c:showBubbleSize val="0"/>
        </c:dLbls>
        <c:gapWidth val="219"/>
        <c:overlap val="-27"/>
        <c:axId val="114690864"/>
        <c:axId val="114683184"/>
      </c:barChart>
      <c:lineChart>
        <c:grouping val="standard"/>
        <c:varyColors val="0"/>
        <c:ser>
          <c:idx val="1"/>
          <c:order val="1"/>
          <c:tx>
            <c:strRef>
              <c:f>'Year-wise Revenue &amp; Cost'!$C$3</c:f>
              <c:strCache>
                <c:ptCount val="1"/>
                <c:pt idx="0">
                  <c:v>Sum of Cost (BDT Cr)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'Year-wise Revenue &amp; Cost'!$A$4:$A$9</c:f>
              <c:strCache>
                <c:ptCount val="5"/>
                <c:pt idx="0">
                  <c:v>2020</c:v>
                </c:pt>
                <c:pt idx="1">
                  <c:v>2021</c:v>
                </c:pt>
                <c:pt idx="2">
                  <c:v>2022</c:v>
                </c:pt>
                <c:pt idx="3">
                  <c:v>2023</c:v>
                </c:pt>
                <c:pt idx="4">
                  <c:v>2024</c:v>
                </c:pt>
              </c:strCache>
            </c:strRef>
          </c:cat>
          <c:val>
            <c:numRef>
              <c:f>'Year-wise Revenue &amp; Cost'!$C$4:$C$9</c:f>
              <c:numCache>
                <c:formatCode>General</c:formatCode>
                <c:ptCount val="5"/>
                <c:pt idx="0">
                  <c:v>19472</c:v>
                </c:pt>
                <c:pt idx="1">
                  <c:v>19727</c:v>
                </c:pt>
                <c:pt idx="2">
                  <c:v>19976</c:v>
                </c:pt>
                <c:pt idx="3">
                  <c:v>19770</c:v>
                </c:pt>
                <c:pt idx="4">
                  <c:v>17667</c:v>
                </c:pt>
              </c:numCache>
            </c:numRef>
          </c:val>
          <c:smooth val="0"/>
          <c:extLst>
            <c:ext xmlns:c16="http://schemas.microsoft.com/office/drawing/2014/chart" uri="{C3380CC4-5D6E-409C-BE32-E72D297353CC}">
              <c16:uniqueId val="{00000001-DDE4-4161-9E3E-987F85B9487D}"/>
            </c:ext>
          </c:extLst>
        </c:ser>
        <c:dLbls>
          <c:showLegendKey val="0"/>
          <c:showVal val="0"/>
          <c:showCatName val="0"/>
          <c:showSerName val="0"/>
          <c:showPercent val="0"/>
          <c:showBubbleSize val="0"/>
        </c:dLbls>
        <c:marker val="1"/>
        <c:smooth val="0"/>
        <c:axId val="114691824"/>
        <c:axId val="114684144"/>
      </c:lineChart>
      <c:catAx>
        <c:axId val="11469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3184"/>
        <c:crosses val="autoZero"/>
        <c:auto val="1"/>
        <c:lblAlgn val="ctr"/>
        <c:lblOffset val="100"/>
        <c:noMultiLvlLbl val="0"/>
      </c:catAx>
      <c:valAx>
        <c:axId val="11468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0864"/>
        <c:crosses val="autoZero"/>
        <c:crossBetween val="between"/>
      </c:valAx>
      <c:valAx>
        <c:axId val="114684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1824"/>
        <c:crosses val="max"/>
        <c:crossBetween val="between"/>
      </c:valAx>
      <c:catAx>
        <c:axId val="114691824"/>
        <c:scaling>
          <c:orientation val="minMax"/>
        </c:scaling>
        <c:delete val="1"/>
        <c:axPos val="b"/>
        <c:numFmt formatCode="General" sourceLinked="1"/>
        <c:majorTickMark val="out"/>
        <c:minorTickMark val="none"/>
        <c:tickLblPos val="nextTo"/>
        <c:crossAx val="1146841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1.xlsx]Revenue by Divisions!PivotTable6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Divisions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Divisions'!$B$3</c:f>
              <c:strCache>
                <c:ptCount val="1"/>
                <c:pt idx="0">
                  <c:v>Total</c:v>
                </c:pt>
              </c:strCache>
            </c:strRef>
          </c:tx>
          <c:spPr>
            <a:solidFill>
              <a:schemeClr val="accent1"/>
            </a:solidFill>
            <a:ln>
              <a:noFill/>
            </a:ln>
            <a:effectLst/>
          </c:spPr>
          <c:invertIfNegative val="0"/>
          <c:cat>
            <c:strRef>
              <c:f>'Revenue by Divisions'!$A$4:$A$12</c:f>
              <c:strCache>
                <c:ptCount val="8"/>
                <c:pt idx="0">
                  <c:v>Rangpur</c:v>
                </c:pt>
                <c:pt idx="1">
                  <c:v>Rajshahi</c:v>
                </c:pt>
                <c:pt idx="2">
                  <c:v>Barisal</c:v>
                </c:pt>
                <c:pt idx="3">
                  <c:v>Chattogram</c:v>
                </c:pt>
                <c:pt idx="4">
                  <c:v>Mymensingh</c:v>
                </c:pt>
                <c:pt idx="5">
                  <c:v>Dhaka</c:v>
                </c:pt>
                <c:pt idx="6">
                  <c:v>Khulna</c:v>
                </c:pt>
                <c:pt idx="7">
                  <c:v>Sylhet</c:v>
                </c:pt>
              </c:strCache>
            </c:strRef>
          </c:cat>
          <c:val>
            <c:numRef>
              <c:f>'Revenue by Divisions'!$B$4:$B$12</c:f>
              <c:numCache>
                <c:formatCode>General</c:formatCode>
                <c:ptCount val="8"/>
                <c:pt idx="0">
                  <c:v>17426</c:v>
                </c:pt>
                <c:pt idx="1">
                  <c:v>17261</c:v>
                </c:pt>
                <c:pt idx="2">
                  <c:v>17101</c:v>
                </c:pt>
                <c:pt idx="3">
                  <c:v>16801</c:v>
                </c:pt>
                <c:pt idx="4">
                  <c:v>16774</c:v>
                </c:pt>
                <c:pt idx="5">
                  <c:v>16704</c:v>
                </c:pt>
                <c:pt idx="6">
                  <c:v>16682</c:v>
                </c:pt>
                <c:pt idx="7">
                  <c:v>16551</c:v>
                </c:pt>
              </c:numCache>
            </c:numRef>
          </c:val>
          <c:extLst>
            <c:ext xmlns:c16="http://schemas.microsoft.com/office/drawing/2014/chart" uri="{C3380CC4-5D6E-409C-BE32-E72D297353CC}">
              <c16:uniqueId val="{00000000-03E2-482A-8ACD-EF13158DCF44}"/>
            </c:ext>
          </c:extLst>
        </c:ser>
        <c:dLbls>
          <c:showLegendKey val="0"/>
          <c:showVal val="0"/>
          <c:showCatName val="0"/>
          <c:showSerName val="0"/>
          <c:showPercent val="0"/>
          <c:showBubbleSize val="0"/>
        </c:dLbls>
        <c:gapWidth val="182"/>
        <c:axId val="114696144"/>
        <c:axId val="114693744"/>
      </c:barChart>
      <c:catAx>
        <c:axId val="11469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3744"/>
        <c:crosses val="autoZero"/>
        <c:auto val="1"/>
        <c:lblAlgn val="ctr"/>
        <c:lblOffset val="100"/>
        <c:noMultiLvlLbl val="0"/>
      </c:catAx>
      <c:valAx>
        <c:axId val="11469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1.xlsx]Revenue by Products!PivotTable7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Products'!$B$3</c:f>
              <c:strCache>
                <c:ptCount val="1"/>
                <c:pt idx="0">
                  <c:v>Total</c:v>
                </c:pt>
              </c:strCache>
            </c:strRef>
          </c:tx>
          <c:spPr>
            <a:solidFill>
              <a:schemeClr val="accent1"/>
            </a:solidFill>
            <a:ln>
              <a:noFill/>
            </a:ln>
            <a:effectLst/>
          </c:spPr>
          <c:invertIfNegative val="0"/>
          <c:cat>
            <c:strRef>
              <c:f>'Revenue by Products'!$A$4:$A$12</c:f>
              <c:strCache>
                <c:ptCount val="8"/>
                <c:pt idx="0">
                  <c:v>TVs</c:v>
                </c:pt>
                <c:pt idx="1">
                  <c:v>Washing Machines</c:v>
                </c:pt>
                <c:pt idx="2">
                  <c:v>Tablets</c:v>
                </c:pt>
                <c:pt idx="3">
                  <c:v>Wearables</c:v>
                </c:pt>
                <c:pt idx="4">
                  <c:v>ACs</c:v>
                </c:pt>
                <c:pt idx="5">
                  <c:v>Monitors</c:v>
                </c:pt>
                <c:pt idx="6">
                  <c:v>Smartphones</c:v>
                </c:pt>
                <c:pt idx="7">
                  <c:v>Refrigerators</c:v>
                </c:pt>
              </c:strCache>
            </c:strRef>
          </c:cat>
          <c:val>
            <c:numRef>
              <c:f>'Revenue by Products'!$B$4:$B$12</c:f>
              <c:numCache>
                <c:formatCode>General</c:formatCode>
                <c:ptCount val="8"/>
                <c:pt idx="0">
                  <c:v>17601</c:v>
                </c:pt>
                <c:pt idx="1">
                  <c:v>17499</c:v>
                </c:pt>
                <c:pt idx="2">
                  <c:v>17357</c:v>
                </c:pt>
                <c:pt idx="3">
                  <c:v>17091</c:v>
                </c:pt>
                <c:pt idx="4">
                  <c:v>16830</c:v>
                </c:pt>
                <c:pt idx="5">
                  <c:v>16742</c:v>
                </c:pt>
                <c:pt idx="6">
                  <c:v>16683</c:v>
                </c:pt>
                <c:pt idx="7">
                  <c:v>15497</c:v>
                </c:pt>
              </c:numCache>
            </c:numRef>
          </c:val>
          <c:extLst>
            <c:ext xmlns:c16="http://schemas.microsoft.com/office/drawing/2014/chart" uri="{C3380CC4-5D6E-409C-BE32-E72D297353CC}">
              <c16:uniqueId val="{00000000-0541-48AD-9CB3-4E514D0ED341}"/>
            </c:ext>
          </c:extLst>
        </c:ser>
        <c:dLbls>
          <c:showLegendKey val="0"/>
          <c:showVal val="0"/>
          <c:showCatName val="0"/>
          <c:showSerName val="0"/>
          <c:showPercent val="0"/>
          <c:showBubbleSize val="0"/>
        </c:dLbls>
        <c:gapWidth val="182"/>
        <c:axId val="206894160"/>
        <c:axId val="206899920"/>
      </c:barChart>
      <c:catAx>
        <c:axId val="2068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9920"/>
        <c:crosses val="autoZero"/>
        <c:auto val="1"/>
        <c:lblAlgn val="ctr"/>
        <c:lblOffset val="100"/>
        <c:noMultiLvlLbl val="0"/>
      </c:catAx>
      <c:valAx>
        <c:axId val="20689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Divisional Revenue!PivotTable8</c:name>
    <c:fmtId val="15"/>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Year-wise Divisional Revenue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Divisional Revenue'!$B$3</c:f>
              <c:strCache>
                <c:ptCount val="1"/>
                <c:pt idx="0">
                  <c:v>Total</c:v>
                </c:pt>
              </c:strCache>
            </c:strRef>
          </c:tx>
          <c:spPr>
            <a:noFill/>
            <a:ln w="25400" cap="flat" cmpd="sng" algn="ctr">
              <a:solidFill>
                <a:schemeClr val="accent2"/>
              </a:solidFill>
              <a:miter lim="800000"/>
            </a:ln>
            <a:effectLst/>
          </c:spPr>
          <c:invertIfNegative val="0"/>
          <c:cat>
            <c:multiLvlStrRef>
              <c:f>'Year-wise Divisional Revenue'!$A$4:$A$49</c:f>
              <c:multiLvlStrCache>
                <c:ptCount val="40"/>
                <c:lvl>
                  <c:pt idx="0">
                    <c:v>Sylhet</c:v>
                  </c:pt>
                  <c:pt idx="1">
                    <c:v>Khulna</c:v>
                  </c:pt>
                  <c:pt idx="2">
                    <c:v>Rajshahi</c:v>
                  </c:pt>
                  <c:pt idx="3">
                    <c:v>Dhaka</c:v>
                  </c:pt>
                  <c:pt idx="4">
                    <c:v>Mymensingh</c:v>
                  </c:pt>
                  <c:pt idx="5">
                    <c:v>Barisal</c:v>
                  </c:pt>
                  <c:pt idx="6">
                    <c:v>Rangpur</c:v>
                  </c:pt>
                  <c:pt idx="7">
                    <c:v>Chattogram</c:v>
                  </c:pt>
                  <c:pt idx="8">
                    <c:v>Rajshahi</c:v>
                  </c:pt>
                  <c:pt idx="9">
                    <c:v>Rangpur</c:v>
                  </c:pt>
                  <c:pt idx="10">
                    <c:v>Mymensingh</c:v>
                  </c:pt>
                  <c:pt idx="11">
                    <c:v>Chattogram</c:v>
                  </c:pt>
                  <c:pt idx="12">
                    <c:v>Dhaka</c:v>
                  </c:pt>
                  <c:pt idx="13">
                    <c:v>Sylhet</c:v>
                  </c:pt>
                  <c:pt idx="14">
                    <c:v>Barisal</c:v>
                  </c:pt>
                  <c:pt idx="15">
                    <c:v>Khulna</c:v>
                  </c:pt>
                  <c:pt idx="16">
                    <c:v>Rangpur</c:v>
                  </c:pt>
                  <c:pt idx="17">
                    <c:v>Dhaka</c:v>
                  </c:pt>
                  <c:pt idx="18">
                    <c:v>Rajshahi</c:v>
                  </c:pt>
                  <c:pt idx="19">
                    <c:v>Sylhet</c:v>
                  </c:pt>
                  <c:pt idx="20">
                    <c:v>Chattogram</c:v>
                  </c:pt>
                  <c:pt idx="21">
                    <c:v>Barisal</c:v>
                  </c:pt>
                  <c:pt idx="22">
                    <c:v>Mymensingh</c:v>
                  </c:pt>
                  <c:pt idx="23">
                    <c:v>Khulna</c:v>
                  </c:pt>
                  <c:pt idx="24">
                    <c:v>Khulna</c:v>
                  </c:pt>
                  <c:pt idx="25">
                    <c:v>Rajshahi</c:v>
                  </c:pt>
                  <c:pt idx="26">
                    <c:v>Barisal</c:v>
                  </c:pt>
                  <c:pt idx="27">
                    <c:v>Mymensingh</c:v>
                  </c:pt>
                  <c:pt idx="28">
                    <c:v>Chattogram</c:v>
                  </c:pt>
                  <c:pt idx="29">
                    <c:v>Dhaka</c:v>
                  </c:pt>
                  <c:pt idx="30">
                    <c:v>Rangpur</c:v>
                  </c:pt>
                  <c:pt idx="31">
                    <c:v>Sylhet</c:v>
                  </c:pt>
                  <c:pt idx="32">
                    <c:v>Barisal</c:v>
                  </c:pt>
                  <c:pt idx="33">
                    <c:v>Rangpur</c:v>
                  </c:pt>
                  <c:pt idx="34">
                    <c:v>Chattogram</c:v>
                  </c:pt>
                  <c:pt idx="35">
                    <c:v>Mymensingh</c:v>
                  </c:pt>
                  <c:pt idx="36">
                    <c:v>Dhaka</c:v>
                  </c:pt>
                  <c:pt idx="37">
                    <c:v>Khulna</c:v>
                  </c:pt>
                  <c:pt idx="38">
                    <c:v>Sylhet</c:v>
                  </c:pt>
                  <c:pt idx="39">
                    <c:v>Rajshahi</c:v>
                  </c:pt>
                </c:lvl>
                <c:lvl>
                  <c:pt idx="0">
                    <c:v>2020</c:v>
                  </c:pt>
                  <c:pt idx="8">
                    <c:v>2021</c:v>
                  </c:pt>
                  <c:pt idx="16">
                    <c:v>2022</c:v>
                  </c:pt>
                  <c:pt idx="24">
                    <c:v>2023</c:v>
                  </c:pt>
                  <c:pt idx="32">
                    <c:v>2024</c:v>
                  </c:pt>
                </c:lvl>
              </c:multiLvlStrCache>
            </c:multiLvlStrRef>
          </c:cat>
          <c:val>
            <c:numRef>
              <c:f>'Year-wise Divisional Revenue'!$B$4:$B$49</c:f>
              <c:numCache>
                <c:formatCode>General</c:formatCode>
                <c:ptCount val="40"/>
                <c:pt idx="0">
                  <c:v>3640</c:v>
                </c:pt>
                <c:pt idx="1">
                  <c:v>3465</c:v>
                </c:pt>
                <c:pt idx="2">
                  <c:v>3416</c:v>
                </c:pt>
                <c:pt idx="3">
                  <c:v>3367</c:v>
                </c:pt>
                <c:pt idx="4">
                  <c:v>3259</c:v>
                </c:pt>
                <c:pt idx="5">
                  <c:v>3251</c:v>
                </c:pt>
                <c:pt idx="6">
                  <c:v>3247</c:v>
                </c:pt>
                <c:pt idx="7">
                  <c:v>3236</c:v>
                </c:pt>
                <c:pt idx="8">
                  <c:v>3765</c:v>
                </c:pt>
                <c:pt idx="9">
                  <c:v>3752</c:v>
                </c:pt>
                <c:pt idx="10">
                  <c:v>3604</c:v>
                </c:pt>
                <c:pt idx="11">
                  <c:v>3571</c:v>
                </c:pt>
                <c:pt idx="12">
                  <c:v>3390</c:v>
                </c:pt>
                <c:pt idx="13">
                  <c:v>3367</c:v>
                </c:pt>
                <c:pt idx="14">
                  <c:v>3321</c:v>
                </c:pt>
                <c:pt idx="15">
                  <c:v>3176</c:v>
                </c:pt>
                <c:pt idx="16">
                  <c:v>3985</c:v>
                </c:pt>
                <c:pt idx="17">
                  <c:v>3612</c:v>
                </c:pt>
                <c:pt idx="18">
                  <c:v>3484</c:v>
                </c:pt>
                <c:pt idx="19">
                  <c:v>3414</c:v>
                </c:pt>
                <c:pt idx="20">
                  <c:v>3380</c:v>
                </c:pt>
                <c:pt idx="21">
                  <c:v>3337</c:v>
                </c:pt>
                <c:pt idx="22">
                  <c:v>3276</c:v>
                </c:pt>
                <c:pt idx="23">
                  <c:v>3174</c:v>
                </c:pt>
                <c:pt idx="24">
                  <c:v>3764</c:v>
                </c:pt>
                <c:pt idx="25">
                  <c:v>3549</c:v>
                </c:pt>
                <c:pt idx="26">
                  <c:v>3542</c:v>
                </c:pt>
                <c:pt idx="27">
                  <c:v>3516</c:v>
                </c:pt>
                <c:pt idx="28">
                  <c:v>3479</c:v>
                </c:pt>
                <c:pt idx="29">
                  <c:v>3232</c:v>
                </c:pt>
                <c:pt idx="30">
                  <c:v>3224</c:v>
                </c:pt>
                <c:pt idx="31">
                  <c:v>3049</c:v>
                </c:pt>
                <c:pt idx="32">
                  <c:v>3650</c:v>
                </c:pt>
                <c:pt idx="33">
                  <c:v>3218</c:v>
                </c:pt>
                <c:pt idx="34">
                  <c:v>3135</c:v>
                </c:pt>
                <c:pt idx="35">
                  <c:v>3119</c:v>
                </c:pt>
                <c:pt idx="36">
                  <c:v>3103</c:v>
                </c:pt>
                <c:pt idx="37">
                  <c:v>3103</c:v>
                </c:pt>
                <c:pt idx="38">
                  <c:v>3081</c:v>
                </c:pt>
                <c:pt idx="39">
                  <c:v>3047</c:v>
                </c:pt>
              </c:numCache>
            </c:numRef>
          </c:val>
          <c:extLst>
            <c:ext xmlns:c16="http://schemas.microsoft.com/office/drawing/2014/chart" uri="{C3380CC4-5D6E-409C-BE32-E72D297353CC}">
              <c16:uniqueId val="{00000000-FC9A-4AC1-B46F-CA8C40D74EF5}"/>
            </c:ext>
          </c:extLst>
        </c:ser>
        <c:dLbls>
          <c:showLegendKey val="0"/>
          <c:showVal val="0"/>
          <c:showCatName val="0"/>
          <c:showSerName val="0"/>
          <c:showPercent val="0"/>
          <c:showBubbleSize val="0"/>
        </c:dLbls>
        <c:gapWidth val="164"/>
        <c:overlap val="-35"/>
        <c:axId val="206908080"/>
        <c:axId val="206900400"/>
      </c:barChart>
      <c:catAx>
        <c:axId val="20690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900400"/>
        <c:crosses val="autoZero"/>
        <c:auto val="1"/>
        <c:lblAlgn val="ctr"/>
        <c:lblOffset val="100"/>
        <c:noMultiLvlLbl val="0"/>
      </c:catAx>
      <c:valAx>
        <c:axId val="20690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90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1.xlsx]Division-wise yearly Revenue!PivotTable9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Division-wise yearly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'Division-wise yearly Revenue'!$B$3:$B$4</c:f>
              <c:strCache>
                <c:ptCount val="1"/>
                <c:pt idx="0">
                  <c:v>Barisal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Revenue'!$B$5:$B$10</c:f>
              <c:numCache>
                <c:formatCode>General</c:formatCode>
                <c:ptCount val="5"/>
                <c:pt idx="0">
                  <c:v>3251</c:v>
                </c:pt>
                <c:pt idx="1">
                  <c:v>3321</c:v>
                </c:pt>
                <c:pt idx="2">
                  <c:v>3337</c:v>
                </c:pt>
                <c:pt idx="3">
                  <c:v>3542</c:v>
                </c:pt>
                <c:pt idx="4">
                  <c:v>3650</c:v>
                </c:pt>
              </c:numCache>
            </c:numRef>
          </c:val>
          <c:smooth val="0"/>
          <c:extLst>
            <c:ext xmlns:c16="http://schemas.microsoft.com/office/drawing/2014/chart" uri="{C3380CC4-5D6E-409C-BE32-E72D297353CC}">
              <c16:uniqueId val="{00000000-A618-45B1-86F5-C8E9BF55ED18}"/>
            </c:ext>
          </c:extLst>
        </c:ser>
        <c:ser>
          <c:idx val="1"/>
          <c:order val="1"/>
          <c:tx>
            <c:strRef>
              <c:f>'Division-wise yearly Revenue'!$C$3:$C$4</c:f>
              <c:strCache>
                <c:ptCount val="1"/>
                <c:pt idx="0">
                  <c:v>Chattogram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Revenue'!$C$5:$C$10</c:f>
              <c:numCache>
                <c:formatCode>General</c:formatCode>
                <c:ptCount val="5"/>
                <c:pt idx="0">
                  <c:v>3236</c:v>
                </c:pt>
                <c:pt idx="1">
                  <c:v>3571</c:v>
                </c:pt>
                <c:pt idx="2">
                  <c:v>3380</c:v>
                </c:pt>
                <c:pt idx="3">
                  <c:v>3479</c:v>
                </c:pt>
                <c:pt idx="4">
                  <c:v>3135</c:v>
                </c:pt>
              </c:numCache>
            </c:numRef>
          </c:val>
          <c:smooth val="0"/>
          <c:extLst>
            <c:ext xmlns:c16="http://schemas.microsoft.com/office/drawing/2014/chart" uri="{C3380CC4-5D6E-409C-BE32-E72D297353CC}">
              <c16:uniqueId val="{00000009-A618-45B1-86F5-C8E9BF55ED18}"/>
            </c:ext>
          </c:extLst>
        </c:ser>
        <c:ser>
          <c:idx val="2"/>
          <c:order val="2"/>
          <c:tx>
            <c:strRef>
              <c:f>'Division-wise yearly Revenue'!$D$3:$D$4</c:f>
              <c:strCache>
                <c:ptCount val="1"/>
                <c:pt idx="0">
                  <c:v>Dhaka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Revenue'!$D$5:$D$10</c:f>
              <c:numCache>
                <c:formatCode>General</c:formatCode>
                <c:ptCount val="5"/>
                <c:pt idx="0">
                  <c:v>3367</c:v>
                </c:pt>
                <c:pt idx="1">
                  <c:v>3390</c:v>
                </c:pt>
                <c:pt idx="2">
                  <c:v>3612</c:v>
                </c:pt>
                <c:pt idx="3">
                  <c:v>3232</c:v>
                </c:pt>
                <c:pt idx="4">
                  <c:v>3103</c:v>
                </c:pt>
              </c:numCache>
            </c:numRef>
          </c:val>
          <c:smooth val="0"/>
          <c:extLst>
            <c:ext xmlns:c16="http://schemas.microsoft.com/office/drawing/2014/chart" uri="{C3380CC4-5D6E-409C-BE32-E72D297353CC}">
              <c16:uniqueId val="{0000000A-A618-45B1-86F5-C8E9BF55ED18}"/>
            </c:ext>
          </c:extLst>
        </c:ser>
        <c:ser>
          <c:idx val="3"/>
          <c:order val="3"/>
          <c:tx>
            <c:strRef>
              <c:f>'Division-wise yearly Revenue'!$E$3:$E$4</c:f>
              <c:strCache>
                <c:ptCount val="1"/>
                <c:pt idx="0">
                  <c:v>Khulna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Revenue'!$E$5:$E$10</c:f>
              <c:numCache>
                <c:formatCode>General</c:formatCode>
                <c:ptCount val="5"/>
                <c:pt idx="0">
                  <c:v>3465</c:v>
                </c:pt>
                <c:pt idx="1">
                  <c:v>3176</c:v>
                </c:pt>
                <c:pt idx="2">
                  <c:v>3174</c:v>
                </c:pt>
                <c:pt idx="3">
                  <c:v>3764</c:v>
                </c:pt>
                <c:pt idx="4">
                  <c:v>3103</c:v>
                </c:pt>
              </c:numCache>
            </c:numRef>
          </c:val>
          <c:smooth val="0"/>
          <c:extLst>
            <c:ext xmlns:c16="http://schemas.microsoft.com/office/drawing/2014/chart" uri="{C3380CC4-5D6E-409C-BE32-E72D297353CC}">
              <c16:uniqueId val="{0000000B-A618-45B1-86F5-C8E9BF55ED18}"/>
            </c:ext>
          </c:extLst>
        </c:ser>
        <c:ser>
          <c:idx val="4"/>
          <c:order val="4"/>
          <c:tx>
            <c:strRef>
              <c:f>'Division-wise yearly Revenue'!$F$3:$F$4</c:f>
              <c:strCache>
                <c:ptCount val="1"/>
                <c:pt idx="0">
                  <c:v>Mymensingh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Revenue'!$F$5:$F$10</c:f>
              <c:numCache>
                <c:formatCode>General</c:formatCode>
                <c:ptCount val="5"/>
                <c:pt idx="0">
                  <c:v>3259</c:v>
                </c:pt>
                <c:pt idx="1">
                  <c:v>3604</c:v>
                </c:pt>
                <c:pt idx="2">
                  <c:v>3276</c:v>
                </c:pt>
                <c:pt idx="3">
                  <c:v>3516</c:v>
                </c:pt>
                <c:pt idx="4">
                  <c:v>3119</c:v>
                </c:pt>
              </c:numCache>
            </c:numRef>
          </c:val>
          <c:smooth val="0"/>
          <c:extLst>
            <c:ext xmlns:c16="http://schemas.microsoft.com/office/drawing/2014/chart" uri="{C3380CC4-5D6E-409C-BE32-E72D297353CC}">
              <c16:uniqueId val="{0000000C-A618-45B1-86F5-C8E9BF55ED18}"/>
            </c:ext>
          </c:extLst>
        </c:ser>
        <c:ser>
          <c:idx val="5"/>
          <c:order val="5"/>
          <c:tx>
            <c:strRef>
              <c:f>'Division-wise yearly Revenue'!$G$3:$G$4</c:f>
              <c:strCache>
                <c:ptCount val="1"/>
                <c:pt idx="0">
                  <c:v>Rajshahi</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Revenue'!$G$5:$G$10</c:f>
              <c:numCache>
                <c:formatCode>General</c:formatCode>
                <c:ptCount val="5"/>
                <c:pt idx="0">
                  <c:v>3416</c:v>
                </c:pt>
                <c:pt idx="1">
                  <c:v>3765</c:v>
                </c:pt>
                <c:pt idx="2">
                  <c:v>3484</c:v>
                </c:pt>
                <c:pt idx="3">
                  <c:v>3549</c:v>
                </c:pt>
                <c:pt idx="4">
                  <c:v>3047</c:v>
                </c:pt>
              </c:numCache>
            </c:numRef>
          </c:val>
          <c:smooth val="0"/>
          <c:extLst>
            <c:ext xmlns:c16="http://schemas.microsoft.com/office/drawing/2014/chart" uri="{C3380CC4-5D6E-409C-BE32-E72D297353CC}">
              <c16:uniqueId val="{0000000D-A618-45B1-86F5-C8E9BF55ED18}"/>
            </c:ext>
          </c:extLst>
        </c:ser>
        <c:ser>
          <c:idx val="6"/>
          <c:order val="6"/>
          <c:tx>
            <c:strRef>
              <c:f>'Division-wise yearly Revenue'!$H$3:$H$4</c:f>
              <c:strCache>
                <c:ptCount val="1"/>
                <c:pt idx="0">
                  <c:v>Rangpur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Revenue'!$H$5:$H$10</c:f>
              <c:numCache>
                <c:formatCode>General</c:formatCode>
                <c:ptCount val="5"/>
                <c:pt idx="0">
                  <c:v>3247</c:v>
                </c:pt>
                <c:pt idx="1">
                  <c:v>3752</c:v>
                </c:pt>
                <c:pt idx="2">
                  <c:v>3985</c:v>
                </c:pt>
                <c:pt idx="3">
                  <c:v>3224</c:v>
                </c:pt>
                <c:pt idx="4">
                  <c:v>3218</c:v>
                </c:pt>
              </c:numCache>
            </c:numRef>
          </c:val>
          <c:smooth val="0"/>
          <c:extLst>
            <c:ext xmlns:c16="http://schemas.microsoft.com/office/drawing/2014/chart" uri="{C3380CC4-5D6E-409C-BE32-E72D297353CC}">
              <c16:uniqueId val="{0000000E-A618-45B1-86F5-C8E9BF55ED18}"/>
            </c:ext>
          </c:extLst>
        </c:ser>
        <c:ser>
          <c:idx val="7"/>
          <c:order val="7"/>
          <c:tx>
            <c:strRef>
              <c:f>'Division-wise yearly Revenue'!$I$3:$I$4</c:f>
              <c:strCache>
                <c:ptCount val="1"/>
                <c:pt idx="0">
                  <c:v>Sylhet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'Division-wise yearly Revenue'!$A$5:$A$10</c:f>
              <c:strCache>
                <c:ptCount val="5"/>
                <c:pt idx="0">
                  <c:v>2020</c:v>
                </c:pt>
                <c:pt idx="1">
                  <c:v>2021</c:v>
                </c:pt>
                <c:pt idx="2">
                  <c:v>2022</c:v>
                </c:pt>
                <c:pt idx="3">
                  <c:v>2023</c:v>
                </c:pt>
                <c:pt idx="4">
                  <c:v>2024</c:v>
                </c:pt>
              </c:strCache>
            </c:strRef>
          </c:cat>
          <c:val>
            <c:numRef>
              <c:f>'Division-wise yearly Revenue'!$I$5:$I$10</c:f>
              <c:numCache>
                <c:formatCode>General</c:formatCode>
                <c:ptCount val="5"/>
                <c:pt idx="0">
                  <c:v>3640</c:v>
                </c:pt>
                <c:pt idx="1">
                  <c:v>3367</c:v>
                </c:pt>
                <c:pt idx="2">
                  <c:v>3414</c:v>
                </c:pt>
                <c:pt idx="3">
                  <c:v>3049</c:v>
                </c:pt>
                <c:pt idx="4">
                  <c:v>3081</c:v>
                </c:pt>
              </c:numCache>
            </c:numRef>
          </c:val>
          <c:smooth val="0"/>
          <c:extLst>
            <c:ext xmlns:c16="http://schemas.microsoft.com/office/drawing/2014/chart" uri="{C3380CC4-5D6E-409C-BE32-E72D297353CC}">
              <c16:uniqueId val="{0000000F-A618-45B1-86F5-C8E9BF55ED18}"/>
            </c:ext>
          </c:extLst>
        </c:ser>
        <c:dLbls>
          <c:showLegendKey val="0"/>
          <c:showVal val="0"/>
          <c:showCatName val="0"/>
          <c:showSerName val="0"/>
          <c:showPercent val="0"/>
          <c:showBubbleSize val="0"/>
        </c:dLbls>
        <c:marker val="1"/>
        <c:smooth val="0"/>
        <c:axId val="206915760"/>
        <c:axId val="206917680"/>
      </c:lineChart>
      <c:catAx>
        <c:axId val="2069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7680"/>
        <c:crosses val="autoZero"/>
        <c:auto val="1"/>
        <c:lblAlgn val="ctr"/>
        <c:lblOffset val="100"/>
        <c:noMultiLvlLbl val="0"/>
      </c:catAx>
      <c:valAx>
        <c:axId val="206917680"/>
        <c:scaling>
          <c:orientation val="minMax"/>
          <c:min val="2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1.xlsx]Revenue by Payment Method!PivotTable10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'Revenue by 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69-4C39-A118-521A831F90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69-4C39-A118-521A831F9048}"/>
              </c:ext>
            </c:extLst>
          </c:dPt>
          <c:cat>
            <c:strRef>
              <c:f>'Revenue by Payment Method'!$A$4:$A$6</c:f>
              <c:strCache>
                <c:ptCount val="2"/>
                <c:pt idx="0">
                  <c:v>Offline</c:v>
                </c:pt>
                <c:pt idx="1">
                  <c:v>Online</c:v>
                </c:pt>
              </c:strCache>
            </c:strRef>
          </c:cat>
          <c:val>
            <c:numRef>
              <c:f>'Revenue by Payment Method'!$B$4:$B$6</c:f>
              <c:numCache>
                <c:formatCode>General</c:formatCode>
                <c:ptCount val="2"/>
                <c:pt idx="0">
                  <c:v>68689</c:v>
                </c:pt>
                <c:pt idx="1">
                  <c:v>66611</c:v>
                </c:pt>
              </c:numCache>
            </c:numRef>
          </c:val>
          <c:extLst>
            <c:ext xmlns:c16="http://schemas.microsoft.com/office/drawing/2014/chart" uri="{C3380CC4-5D6E-409C-BE32-E72D297353CC}">
              <c16:uniqueId val="{00000000-C5F7-466F-BF48-401E70DB51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1.xlsx]Profit By Year!PivotTable11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Year'!$B$3</c:f>
              <c:strCache>
                <c:ptCount val="1"/>
                <c:pt idx="0">
                  <c:v>Total</c:v>
                </c:pt>
              </c:strCache>
            </c:strRef>
          </c:tx>
          <c:spPr>
            <a:solidFill>
              <a:schemeClr val="accent1"/>
            </a:solidFill>
            <a:ln>
              <a:noFill/>
            </a:ln>
            <a:effectLst/>
          </c:spPr>
          <c:invertIfNegative val="0"/>
          <c:cat>
            <c:strRef>
              <c:f>'Profit By Year'!$A$4:$A$9</c:f>
              <c:strCache>
                <c:ptCount val="5"/>
                <c:pt idx="0">
                  <c:v>2020</c:v>
                </c:pt>
                <c:pt idx="1">
                  <c:v>2021</c:v>
                </c:pt>
                <c:pt idx="2">
                  <c:v>2022</c:v>
                </c:pt>
                <c:pt idx="3">
                  <c:v>2023</c:v>
                </c:pt>
                <c:pt idx="4">
                  <c:v>2024</c:v>
                </c:pt>
              </c:strCache>
            </c:strRef>
          </c:cat>
          <c:val>
            <c:numRef>
              <c:f>'Profit By Year'!$B$4:$B$9</c:f>
              <c:numCache>
                <c:formatCode>General</c:formatCode>
                <c:ptCount val="5"/>
                <c:pt idx="0">
                  <c:v>7409</c:v>
                </c:pt>
                <c:pt idx="1">
                  <c:v>8219</c:v>
                </c:pt>
                <c:pt idx="2">
                  <c:v>7686</c:v>
                </c:pt>
                <c:pt idx="3">
                  <c:v>7585</c:v>
                </c:pt>
                <c:pt idx="4">
                  <c:v>7789</c:v>
                </c:pt>
              </c:numCache>
            </c:numRef>
          </c:val>
          <c:extLst>
            <c:ext xmlns:c16="http://schemas.microsoft.com/office/drawing/2014/chart" uri="{C3380CC4-5D6E-409C-BE32-E72D297353CC}">
              <c16:uniqueId val="{00000000-BBEA-4717-B009-AFD5C6CD9D4C}"/>
            </c:ext>
          </c:extLst>
        </c:ser>
        <c:dLbls>
          <c:showLegendKey val="0"/>
          <c:showVal val="0"/>
          <c:showCatName val="0"/>
          <c:showSerName val="0"/>
          <c:showPercent val="0"/>
          <c:showBubbleSize val="0"/>
        </c:dLbls>
        <c:gapWidth val="219"/>
        <c:overlap val="-27"/>
        <c:axId val="343330736"/>
        <c:axId val="343319216"/>
      </c:barChart>
      <c:catAx>
        <c:axId val="3433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19216"/>
        <c:crosses val="autoZero"/>
        <c:auto val="1"/>
        <c:lblAlgn val="ctr"/>
        <c:lblOffset val="100"/>
        <c:noMultiLvlLbl val="0"/>
      </c:catAx>
      <c:valAx>
        <c:axId val="34331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3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1.xlsx]Year-wise Revenue &amp; Profit!PivotTable13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a:t>
            </a:r>
            <a:r>
              <a:rPr lang="en-US" baseline="0"/>
              <a:t> Revenue &amp; Profit</a:t>
            </a:r>
            <a:endParaRPr lang="en-US"/>
          </a:p>
        </c:rich>
      </c:tx>
      <c:layout>
        <c:manualLayout>
          <c:xMode val="edge"/>
          <c:yMode val="edge"/>
          <c:x val="0.3396456692913385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Revenue &amp; Profit'!$B$3</c:f>
              <c:strCache>
                <c:ptCount val="1"/>
                <c:pt idx="0">
                  <c:v>Sum of Revenue (BDT Cr)</c:v>
                </c:pt>
              </c:strCache>
            </c:strRef>
          </c:tx>
          <c:spPr>
            <a:solidFill>
              <a:schemeClr val="accent1"/>
            </a:solidFill>
            <a:ln>
              <a:noFill/>
            </a:ln>
            <a:effectLst/>
          </c:spPr>
          <c:invertIfNegative val="0"/>
          <c:cat>
            <c:strRef>
              <c:f>'Year-wise Revenue &amp; Profit'!$A$4:$A$9</c:f>
              <c:strCache>
                <c:ptCount val="5"/>
                <c:pt idx="0">
                  <c:v>2020</c:v>
                </c:pt>
                <c:pt idx="1">
                  <c:v>2021</c:v>
                </c:pt>
                <c:pt idx="2">
                  <c:v>2022</c:v>
                </c:pt>
                <c:pt idx="3">
                  <c:v>2023</c:v>
                </c:pt>
                <c:pt idx="4">
                  <c:v>2024</c:v>
                </c:pt>
              </c:strCache>
            </c:strRef>
          </c:cat>
          <c:val>
            <c:numRef>
              <c:f>'Year-wise Revenue &amp; Profit'!$B$4:$B$9</c:f>
              <c:numCache>
                <c:formatCode>General</c:formatCode>
                <c:ptCount val="5"/>
                <c:pt idx="0">
                  <c:v>26881</c:v>
                </c:pt>
                <c:pt idx="1">
                  <c:v>27946</c:v>
                </c:pt>
                <c:pt idx="2">
                  <c:v>27662</c:v>
                </c:pt>
                <c:pt idx="3">
                  <c:v>27355</c:v>
                </c:pt>
                <c:pt idx="4">
                  <c:v>25456</c:v>
                </c:pt>
              </c:numCache>
            </c:numRef>
          </c:val>
          <c:extLst>
            <c:ext xmlns:c16="http://schemas.microsoft.com/office/drawing/2014/chart" uri="{C3380CC4-5D6E-409C-BE32-E72D297353CC}">
              <c16:uniqueId val="{00000000-8360-47A5-A681-B90BABBE1C1C}"/>
            </c:ext>
          </c:extLst>
        </c:ser>
        <c:dLbls>
          <c:showLegendKey val="0"/>
          <c:showVal val="0"/>
          <c:showCatName val="0"/>
          <c:showSerName val="0"/>
          <c:showPercent val="0"/>
          <c:showBubbleSize val="0"/>
        </c:dLbls>
        <c:gapWidth val="219"/>
        <c:overlap val="-27"/>
        <c:axId val="399436336"/>
        <c:axId val="399423856"/>
      </c:barChart>
      <c:lineChart>
        <c:grouping val="standard"/>
        <c:varyColors val="0"/>
        <c:ser>
          <c:idx val="1"/>
          <c:order val="1"/>
          <c:tx>
            <c:strRef>
              <c:f>'Year-wise Revenue &amp; Profit'!$C$3</c:f>
              <c:strCache>
                <c:ptCount val="1"/>
                <c:pt idx="0">
                  <c:v>Sum of Profit (BDT Cr)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'Year-wise Revenue &amp; Profit'!$A$4:$A$9</c:f>
              <c:strCache>
                <c:ptCount val="5"/>
                <c:pt idx="0">
                  <c:v>2020</c:v>
                </c:pt>
                <c:pt idx="1">
                  <c:v>2021</c:v>
                </c:pt>
                <c:pt idx="2">
                  <c:v>2022</c:v>
                </c:pt>
                <c:pt idx="3">
                  <c:v>2023</c:v>
                </c:pt>
                <c:pt idx="4">
                  <c:v>2024</c:v>
                </c:pt>
              </c:strCache>
            </c:strRef>
          </c:cat>
          <c:val>
            <c:numRef>
              <c:f>'Year-wise Revenue &amp; Profit'!$C$4:$C$9</c:f>
              <c:numCache>
                <c:formatCode>General</c:formatCode>
                <c:ptCount val="5"/>
                <c:pt idx="0">
                  <c:v>7409</c:v>
                </c:pt>
                <c:pt idx="1">
                  <c:v>8219</c:v>
                </c:pt>
                <c:pt idx="2">
                  <c:v>7686</c:v>
                </c:pt>
                <c:pt idx="3">
                  <c:v>7585</c:v>
                </c:pt>
                <c:pt idx="4">
                  <c:v>7789</c:v>
                </c:pt>
              </c:numCache>
            </c:numRef>
          </c:val>
          <c:smooth val="0"/>
          <c:extLst>
            <c:ext xmlns:c16="http://schemas.microsoft.com/office/drawing/2014/chart" uri="{C3380CC4-5D6E-409C-BE32-E72D297353CC}">
              <c16:uniqueId val="{00000001-8360-47A5-A681-B90BABBE1C1C}"/>
            </c:ext>
          </c:extLst>
        </c:ser>
        <c:dLbls>
          <c:showLegendKey val="0"/>
          <c:showVal val="0"/>
          <c:showCatName val="0"/>
          <c:showSerName val="0"/>
          <c:showPercent val="0"/>
          <c:showBubbleSize val="0"/>
        </c:dLbls>
        <c:marker val="1"/>
        <c:smooth val="0"/>
        <c:axId val="399436336"/>
        <c:axId val="399423856"/>
      </c:lineChart>
      <c:catAx>
        <c:axId val="39943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23856"/>
        <c:crosses val="autoZero"/>
        <c:auto val="1"/>
        <c:lblAlgn val="ctr"/>
        <c:lblOffset val="100"/>
        <c:noMultiLvlLbl val="0"/>
      </c:catAx>
      <c:valAx>
        <c:axId val="39942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3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1.xlsx]Profit by Order Method !PivotTable16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a:t>
            </a:r>
            <a:r>
              <a:rPr lang="en-US"/>
              <a:t>Order</a:t>
            </a:r>
            <a:r>
              <a:rPr lang="en-US" baseline="0"/>
              <a:t> Method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79451006124234"/>
              <c:y val="-1.6513560804899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845013123359579"/>
              <c:y val="-8.27719451735199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by Order Method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ED4-44CC-8FA3-BB3A9A23A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D4-44CC-8FA3-BB3A9A23A889}"/>
              </c:ext>
            </c:extLst>
          </c:dPt>
          <c:dLbls>
            <c:dLbl>
              <c:idx val="0"/>
              <c:layout>
                <c:manualLayout>
                  <c:x val="-0.12579451006124234"/>
                  <c:y val="-1.65135608048993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D4-44CC-8FA3-BB3A9A23A889}"/>
                </c:ext>
              </c:extLst>
            </c:dLbl>
            <c:dLbl>
              <c:idx val="1"/>
              <c:layout>
                <c:manualLayout>
                  <c:x val="0.14845013123359579"/>
                  <c:y val="-8.277194517351997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D4-44CC-8FA3-BB3A9A23A8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Order Method '!$A$4:$A$6</c:f>
              <c:strCache>
                <c:ptCount val="2"/>
                <c:pt idx="0">
                  <c:v>Offline</c:v>
                </c:pt>
                <c:pt idx="1">
                  <c:v>Online</c:v>
                </c:pt>
              </c:strCache>
            </c:strRef>
          </c:cat>
          <c:val>
            <c:numRef>
              <c:f>'Profit by Order Method '!$B$4:$B$6</c:f>
              <c:numCache>
                <c:formatCode>General</c:formatCode>
                <c:ptCount val="2"/>
                <c:pt idx="0">
                  <c:v>19534</c:v>
                </c:pt>
                <c:pt idx="1">
                  <c:v>19154</c:v>
                </c:pt>
              </c:numCache>
            </c:numRef>
          </c:val>
          <c:extLst>
            <c:ext xmlns:c16="http://schemas.microsoft.com/office/drawing/2014/chart" uri="{C3380CC4-5D6E-409C-BE32-E72D297353CC}">
              <c16:uniqueId val="{00000000-9ED4-44CC-8FA3-BB3A9A23A8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[Musa Ahammed Mahin-Project 1.xlsx]Profit by Product!PivotTable18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Product'!$B$3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Product'!$A$4:$A$12</c:f>
              <c:strCache>
                <c:ptCount val="8"/>
                <c:pt idx="0">
                  <c:v>ACs</c:v>
                </c:pt>
                <c:pt idx="1">
                  <c:v>Monitors</c:v>
                </c:pt>
                <c:pt idx="2">
                  <c:v>Refrigerators</c:v>
                </c:pt>
                <c:pt idx="3">
                  <c:v>Smartphones</c:v>
                </c:pt>
                <c:pt idx="4">
                  <c:v>Tablets</c:v>
                </c:pt>
                <c:pt idx="5">
                  <c:v>TVs</c:v>
                </c:pt>
                <c:pt idx="6">
                  <c:v>Washing Machines</c:v>
                </c:pt>
                <c:pt idx="7">
                  <c:v>Wearables</c:v>
                </c:pt>
              </c:strCache>
            </c:strRef>
          </c:cat>
          <c:val>
            <c:numRef>
              <c:f>'Profit by Product'!$B$4:$B$12</c:f>
              <c:numCache>
                <c:formatCode>General</c:formatCode>
                <c:ptCount val="8"/>
                <c:pt idx="0">
                  <c:v>5011</c:v>
                </c:pt>
                <c:pt idx="1">
                  <c:v>5036</c:v>
                </c:pt>
                <c:pt idx="2">
                  <c:v>4531</c:v>
                </c:pt>
                <c:pt idx="3">
                  <c:v>4562</c:v>
                </c:pt>
                <c:pt idx="4">
                  <c:v>4781</c:v>
                </c:pt>
                <c:pt idx="5">
                  <c:v>5041</c:v>
                </c:pt>
                <c:pt idx="6">
                  <c:v>5031</c:v>
                </c:pt>
                <c:pt idx="7">
                  <c:v>4695</c:v>
                </c:pt>
              </c:numCache>
            </c:numRef>
          </c:val>
          <c:smooth val="0"/>
          <c:extLst>
            <c:ext xmlns:c16="http://schemas.microsoft.com/office/drawing/2014/chart" uri="{C3380CC4-5D6E-409C-BE32-E72D297353CC}">
              <c16:uniqueId val="{00000000-0712-4DE8-AE05-9444388C9618}"/>
            </c:ext>
          </c:extLst>
        </c:ser>
        <c:dLbls>
          <c:showLegendKey val="0"/>
          <c:showVal val="0"/>
          <c:showCatName val="0"/>
          <c:showSerName val="0"/>
          <c:showPercent val="0"/>
          <c:showBubbleSize val="0"/>
        </c:dLbls>
        <c:marker val="1"/>
        <c:smooth val="0"/>
        <c:axId val="399340336"/>
        <c:axId val="399350416"/>
      </c:lineChart>
      <c:catAx>
        <c:axId val="399340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50416"/>
        <c:crosses val="autoZero"/>
        <c:auto val="1"/>
        <c:lblAlgn val="ctr"/>
        <c:lblOffset val="100"/>
        <c:noMultiLvlLbl val="0"/>
      </c:catAx>
      <c:valAx>
        <c:axId val="399350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4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Division</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Profit by Division</a:t>
          </a:r>
        </a:p>
      </cx:txPr>
    </cx:title>
    <cx:plotArea>
      <cx:plotAreaRegion>
        <cx:series layoutId="regionMap" uniqueId="{D63298C1-47CD-4CA5-96BA-6A56E16A1509}">
          <cx:tx>
            <cx:txData>
              <cx:f>_xlchart.v5.2</cx:f>
              <cx:v>Sum of Profit (BDT Cr)</cx:v>
            </cx:txData>
          </cx:tx>
          <cx:dataId val="0"/>
          <cx:layoutPr>
            <cx:geography cultureLanguage="en-US" cultureRegion="US" attribution="Powered by Bing">
              <cx:geoCache provider="{E9337A44-BEBE-4D9F-B70C-5C5E7DAFC167}">
                <cx:binary>1HrJkt04suWvpOW6qcQMsKzqLUDeKUbFqGFDi1CECJIgOAAcd+/f+sPaQ6qsVERGhV5Zl7V1aZEp
XV5eB+Dux48fx1+/zH/5Yh/v+l/m2jr/ly/z3341IbR/+e03/8U81nf+XV186RvffA3vvjT1b83X
r8WXx98e+rupcPlvBGH22xdz14fH+df/+iv8Wv7YnDRf7kLRuIvhsV8uH/1gg3/j2auPfrl7qAuX
Fj70xZeA//br1WLNY/j1l0cXirBcL+3j33599p1ff/nt5S/9yeovFhYWhgd4l7B3EnOCEMPx9z+/
/mIbl//9cYzfCSGwokyib3/k76bP7mp4/efL+baYu4eH/tF72M23///x3rOl//Hxl2Zw4enQcji/
v/2q71xu7x4evfn1l8I3yfenSfO0AZ1+2/Fvz8/8v/764gM4gxef/OCWlwf2s0d/8oq+6wt/Z38/
m3+DW8g7RrkQlLzuFvSOUCqIpH9//MIt39bzv//7zQW97pg/3nzhmj8e/Kc5JzF3ITR5f1f/e/0j
MZXin6aNUoRyJun3pHrhn//Zkl730I/vvvDRj4/+07yUmrvq7t/oIPYOSSGVjPlzQEPvMMGcx5h9
BzTyu83vgPbTZbzulL+/9sIff//0P80Vp0v96DzUNYDbf2OdUQwxpqj6x7n/WGfQOxYLxTCj3x/T
301/d8sfS/olLcbCQ1n4/Quvge3rTnr1R1647NXv/Kc58NgM1v07k4m8UzGKBRLxs2RS8TuKscAs
Vt9hDnLte8B899rP1/G6o35/74Vvfv/4P80dl3elN3em+P1wXovYf5G18XeYK6ykEq+xNvAL4gRL
yV6k0f9kJa+75I83Xzjljwf/eW5xeTv0/1avKPqEX1i+7pXfTX3PjktgtWD//wLQ/vwLf3LOSxP/
vzvpjfX9WIqefe1fbXnoOwWZgWL+d3L2HNRi4NYcqLX6HdTUc7f92Iz88yW9nkU/vvtsC/8vepx/
3v/8o0FM78Ld5ltn+UML9PbTbxuFbvfFq8+Iw7Ot/n6ahwfoPgGf/tGuPv3Cs/Lx42l9P+nf33m8
8+Fvv8bknZBUCATOogRRDFxuenx6otQ7RJRiQjIkCRFc/PqLa/pgwKR4J0hMwPtYMUoEBmrum+Hb
I/SOSxbHSnEgiEiRf7Ty7xu75I37x0n8/d+/uKF+3xQu+L/9Chba7996WqRkT8AMPw8tAAZeI57W
1n65uwRWBV/G/6vOySJMFBf7tWzY1s9LucsNlYlYnd3ltGLbH47mFXuw7Gf2oD+niDMOlFdhquIX
9hzFlR+dy/dLpuaEYZ9ds9HUh2Udy9NFGXRCrM3020ahvv/JKEYCg0CgVMwwuPPHTRKvpmFsWL4P
HY9OvK1Mip2gOoK//mR/kJQvTTEELRWhDEHrKyArfzTlxn5ZW0GK/TLU5Um8sig1KGY6Q1W17TFn
ugjS7779zSg03by90xfmFWxSIcIB2xXGT0z1uXlesXWyXPX7KgyDnmxNt6FZo/fE+GjRXdOvWgXD
zspCdfeOKr972z5+cdSwAEIxx0wyCV0nxPXzBVTTyLNB4G6fDU9OrmZyM/io+FyNRZ2apVgnnfWG
HbekS3PbDbuudjwk+UxEkYzB4ysphnmn8DB9nBZq8++6yndZ5ZX4exHv39ZHQAeLGeGgWqAX6ysa
DpKTRd2+U2bQtnZj6vks9sqO8ybkLnr/kwPBzwPiyaDiSGEuIWER4y8CPuqDCmMY/D5awaxmeCBY
w86E2qCsYZem6crLsq/SCplsUysSMl0NcjmZm6oKm7dXQ16kn+JQUOg3wMFAidnL9KsH2fTRkFX7
kXi26rbP40aPkvijDojarGlvypOxjZuPxdA+CMCUnZ/EuvF2YaUeMmUu6Zqhz6whfaHp3Od94mjB
bvMwtId+MXOr81biMZkDVo2eFCRcA/hyUrsuOtRGTTYhuSXbbGyyU4lr9PntLdInD/6AaN+2GBOG
wctPefgyA9sQMGBhUe95OymsV9d5moKIOt/YXlRJI9v5tom7EullwPEZsm217Wydn/QD87sq4+HQ
1Jm/HzGP3q9htleWD+jzHC9iv4ylvSor3H5SDc8O0g/lA8U2JM0ayN2wRnGuZxcmlHRkpLfMe9Rr
71Z/OtXjuOny2F69vd2nhP7TbiVIcFhQjKR6gTfROGWViozdr8PKtBhYlfiFR8nbVl5mDYQNRpAs
BFMRMygaz7Na8UoOM6xrL6s+/xgZiJws+MPYr/xRVWj+1/D6yYUYQePwBGQUC/KUUz8UJTn7zqw9
mKN1k59WTXEEC5uTmM7jT+DglXyAwvBUYSFkhCRPcPaDpXomLqfe2/005vmpjd18Uwpkr9ao80cD
LexVjU1x+fZpvgTpp+1hwQQDGAIIIi9OkwKjQza4eh9YyO9DOSm1kVUHmVjyBlMtjaC3Szy3n6pg
IYl6Hv3MoS9h+mkJHBYhQfyLBVSK5/uOJiHLEVXtvm9klBYcNRA3gyuWhPA6O317v69ED3hSgUtj
QUiMXxgbaQlDjCrv920k7RUrJkDaYpK7BtiGNjaEL2/bw09B/yIpKNAsTADqIGzJi6RoOCqLLq6b
Peq6dU3YKHnYGNkEr1loxjpZo2p9j2XuUhOVWZ5mjSpOFtI7p0dTqPLQcBKfuqzw94Poh/uatCPT
ZsrodipEdJKx0H56e9GvegSGGCwGZEboZeUmtagEMardL0XOdRUBM8mkdcdxzrrrt029FvQCWnKg
jjBTicUTpvwQ9E4Vne9gS0CH+uwUE49PBz9PRxHp1BGjlTs2dBT7t42+sj8K7iAyJjESkj8t6gej
68S6irjI7Wfq2FZSl50ukxd7x7Po5G1Tr+QXZSx+6o5iClT5pfvN0tl1aZt9FibjtrUoy5Oarmoz
ss5fDAEvB0JDyBM+NPxkUnX+k4B/ba9gPQaSToGJxS/45oBWOUUyuH3N8kHXAXaIlzY+H4omPnt7
r6+FOihbTEGbCELKS2oLBF08gWW9Z1CzjmZH/ZEXK9RmhVZ6mxMvy1Q1qz+Kup+69JVzxhKyTIB6
DVSXvYijTlV25ZNo90WHxh1lWXFpuoV2ySxtdlquC2BXMZHZ6qU3kHs2B7b19vZfC2WYLnHJleT4
T65evcrGUfF2zwwS+5wIcZhChjZN4S/qPMJcW2J/xulecS8gJifAMEBslPIFpVNUUtR5AM+8ZPFZ
Fo3A6CTpapMWIiu3b+/w6RBfYBkMz4hEQB+FhC7ted600CGpalLNvgOudlbU/c3of8pSXzECs1WI
VakAFBR5wYrrmPZ8rQ0gQj5npcZtFJc6yn31rxd2gqDuEIhY2NXLk7N+HaM2mtr9LDp2WxXee922
aE7Girr2J7HxSmoQqKXQU4HOBS3Ji031zVSN8xz6PTB0sqtNXJA0RsBoV6HqYxN10ftsaMYimSIB
KvU/BID3393zY1f92nnCYDTmT5uVgADPnRaVUH/D7Pq9rUSU9iO7j0qoem8beSX2qYAJEZc4ln+u
4XGEOjkjWe+7iEMYrkAa1nz2R3mYiq2vuqnQRZz/jLy8Uswh12MmYGdQql42UCszs1lsVu+j4Nit
q5bovVrn7lrRptyXov5Zhj9pLS8TgEInS2MG1SMGOvj8LHMucG1X0exLSmuxn5cx63RZROYrJIO8
AWCIIz3E8XSztip7H7sp9toUzTjqnJfd15ZhezWVBLqA3i1yF7WBqnSZzD1nBXD/ioeJJkALjA6q
i+mGmm7cNx3x10Bc2g9vO+0V7GAIyBB/qr1wHeNFbaIC+cAcavakjaJRt1bQVHZZ9CGUeDz/l209
ASMUBgK+gt7z+clJolq1kArIrYjyNOBp3a595Hfxkxbxr5uKKVQgEPvB5MsytKAuuIUsdv9N8fBI
zgnKVJSyzJT7t009KV8vAoJBawcyAyC+oMBinm+rLvJoQnMGyTXn0FEHQSfQC0S7w71Fn10gK09Z
z5v1PNgFis+wKPGATGWvfDS5KrEQZ+8XNa4nQbb1DVtnPG7AJUVimqi5f3u15KkYPMdvGDs9MW1E
YK6IxQsndGzxfDEgiNSTy4/bibZ3VtropPWz8Xoqivx+QKa/DrzLJ13hLEqanqwXuTTdebmyPDEY
hYu+CVVSS+hFGjuMqRHBH4liVBeTcvMOFdOQ9pmojydRDD8BbfznjhoaTKjwQGhAjv4TncHtGgFh
VW7PSVdpOzRxm5TMZ5pbBI09wM9Z5AwoGMFMCcrx/WLL9fD2OWI4tGcnCaIF8DkiEOcoJhxc/wJU
lWuWtshxs5ehVzYp+y4355NjPU76st0UZTScS0AnvYbpVpaV5Jr3BUr5bIqvpGpu574puwTkuHA1
zFEByVCGNK+aea+Wvkw4MuKYBXs+uj6N1qLVPue7aOL3kyl0ZsZjEG/S3o+Xncnv3GJuhHwKLzof
8jreFXHpdBdVUovMuYRWx8jZZK1kguIhLeJ2P3Zmw4w7b3F/koty59vlBs11MsafyYzSyPq9q8qL
ZRqPJxmvh2a16WqmT33bpWO8ni8gYpSpcOKgSil1hQaQUpbD2ne3Kmp1O4mk5erEkyLJ4/4QCpTQ
kmxC6LZlbg+jrx+HLNqgut8xXx4cNxsux080+EQVwIZBvDC2Af2mSkIZbSKFCm2raL9O3fHM6z2a
fL5hfaZ9PLoUlYEmnvHPA25AD1jja4aytHLvaR7pCtql1c6Vbow/KwLO926NThZuLlkfF9pZ98mV
Vs9DCfib3VPZXSwLS0Dv/giSRtoStJX8pArZQ1FHcIj5dbeMB8PIWSvXLe7O85wcj6r/NC8gsIgB
pCk76X6qdlEZb5a6SHCkNlmebYZ1Oe6juUrXsdNT4Eeta3dFdzm1xx7xj6N4YCsbNZH8XLli2y8P
rIm8hjsAPhEtORItelTD15XQo8EvGgA1DSbf2Z7rVfGDLPlGOH9cxHOuF6puW4xrHYPEu079KbGN
hOayOsIdvrRD2EtbdJuxya9JJ7YQxToyTFPkjEZd5jSia5JXI5zrMp7bQdzkEM5WljdD75NQt6nI
qkO9rlsv8JeQ2y2PRpXiOTuTvdOrFzdt5R+I6Wddyi6xUc52khtNRbmZa/8pQkTH84x0v6DPvG7O
6DJC95tFO9ae+f54ykGkjeIkbp2OyugAsk9iKD9ZPd2tDsqsE8d5EKd0jrVrpjkRuDzqeks0BeI7
xjcyoCQr2ZWaI64j605juKyYVtUckpqWWhbFhtL+E6uaLzCLOB1bc+xanwYbGy1IfVzI4pQ3rE/y
etrMuC40wORNuXZXaKovcOy/rLjbrcC5kpA99pBcbY83OEBufylwdcx4lbZjeVuijy6ukgrSpCjn
3VKMt7F3+yj29xTKhi5Yl9Sd+eqVP2QN1jRqHswoTkjWp3UPhzAXKRr7TTSOLLFGHQ/LcGKGcZ+L
7NBUfZ/A7KA/HkuztTScMkFuYifTueHXlo9Uj47DZgFB4g5+g+xKa8HGeOmgKup6yHVop0ODVEqm
WjumDgg0WTSYyxUOsO2qYws4Mqgi1qrspnQcx/YTXUyod7YxtE78DLIjsOZ26LZ91p5awz8RJ7S0
5caxWS+uvSxY1S1alCrtFqvrnG68aMOkfWN1poB7wJxCx3GlqyDElZVFnXRLc1b37f2IJnurfLeB
jn7bofhOuvGE9cNl55sLUDOFDFFSj2zalyFvYXly5+isKxdO3LLWSR4AgqIhP3cV9P26Yg91hK/j
dTjjBhbc5vuV74euGyGiqiZdfa6BL+uiNReoesBNmah2/OjjaO+H+WIJYdvW8mMJsJrFXGdL86VZ
gQA0+ZqlWK59QqjhH/gq8WEhLGt3qjlu+96e25m7bdwFmVS177ymNc82yHp/nY99ZwBwcnJe5tBA
J4uX3Zr0K8i3u24KzT03tozSJhNFGmQ8QeqzXA9rKY+yuJI3mIVRywG2t7Im3kTdvM8I9pu5w1lI
sqixV4XNowfVZhRYSmnHR+nXy7VyXxFuSOoXuW7MjHWxVPGQtCInoKoO6x2a++jAS8R0qBp5Zkm0
bpplbK/52j/EGWQIbWO0B23Z15rBIOoGUtQKTa0RBxL78bRT0TrsLF7VIQOYPc9NZ/ckWlqrJ5dF
112zFB8X0hGuG1SIveFz9JUT325UHAAMUVUs4YQXNr4uOpqdO+stUBfmmg1RvWqTNrR8G1rP1020
liwth7aodSbHcNpYaLRAiM7Gu7ijFdqOIzfJ3E6ffTPz+2UF4zrwevnUz6w4+LKLhg0IUtVuyKix
WvWCb9zky0sQUGwAfX78BDS6/oLnMB9g3EJPbG3b2zgfB73wIZwKF2e5rkjVgo8mc1ez7MpLSPja
1hMk1xqzLWGqEbqM8Hzup1rqcrZxr9dlHUbNYh/T1Ba22RqEfDIvRZWSlbBENah5H3XOnxTQzH0o
RLWkqM+KIxWy5hBRh7auZup0iWvHABCD+iRY1B9W/4Q9kYB6Oo0fZSsqLerIHJWUP5T9yLdZmOm+
FhS0Ga6u2NzcyRDqvYOm4CqMVX/NS0n3fgU9ciDNTHXT1+NZPSBW6RxRs/FYQDnrO3IP6pW/MLTq
9DKy6gimOuSQd6K8wRGONiuImicoMxtRl9drNpbpUEzhCEZ3vUtENNnUlWTVAq/TpomV2BQ+W03S
VHMHhyTiwmz7oVy2Ge6ErlSpcp0bmGzqPIzDsAlobjuodhbENLWgkCUq9jaBfmaHQ6Tu566oQPVi
aiucWZNqznjSOoOTdlV1Wq02PxnWDqVSmvHUGEqDXgs7prmI8WFd8SL10iF1TBmJElewQeORq8/j
VAJvd2pIXTsMPoEYx4caSGCkAXyjW7WY07Bm64d+XtrdPBf4seiM+5rlPL+JkGju1+4iiySBlg9I
9A7HQ77NWlaez2vWnkhXGASAEQqZgPjVJFx08G85FSmfagCXYmrPZIzRfdsX896ZfD6agCNfemZz
oEMR2Yx2coelndcjNgqp455DRzS1GLhjGMmjGGqUAF/NUo/msOWOfPCIwsA0ch3Mpfs5rDEo0Wg5
riSbjF7yFo6radoBOEknb7IpGj6wChS/3Ak+bvjCXb0FJWXcz4EsX5ScnU/WGRrbakKd3ch2FFAD
Sqg8Xb7Q84UrVmtes/nCZfH6YSgI3nM3k3SWw9i+L6iLgNp2c3SPy6XYWUTMpizG+rY1UA1nVLmk
6yHWUjauc+po1lcJmibqk9FVYWdcUW4yINl7Bn3tEY8zfx1xw3vdcU45BDFp33NHTZQsZsSDruqM
bXMUKqjmfpVO86kbiy20xvHJXMf1Fg0rsOi8pde8jYEqgZ+rAziPdNtmaMddXtX1gwDd6mpklN57
93WeKpg2r8w+wpiKbmQhj6vpJABApnHJ+IWnAL6zzGRi1qhJrEXyqsN1fBzCoLTMhatgFSOAuaFd
didGH5+HtnRHUzN2R6FlUaYlR8NHMdXzKa6DSPhojnmf2309lyhxmFZb2kOhXmI5Jbjrux2k7bCV
ERk268pgr5wM6WzHaItrwQ7dEp4qCLSTnye4UFIlHUxqrgo/xNVHG5VAliUJe8ymegOB39a6C8sj
j9rhNJotOyx2aT9x6Ep2MNwuL0jL+51Xsr2yhE+bWkbmYWFuvW2n0m66zu0CIfZikOzW9wbYZzRN
6To98UND5gXQq8mABQ9VCTvNQGn9xCxjp4Pi+VFNB5GseTW1eiaLOfCFokm3MM4rk2il4bhlfXHt
aocr3fuoOnliC+fdIvrmaAickw28wFOSzyM4wdj8YmVlkdB+EJs6aqCy8ZiUsCReXJNJom2W0/m6
byK1y4waN4rDfQJJ2rOIjTjWss1h6OmKoK5W2YglhflWFmkrWnVt5FxfNCFru6QlkSl2U8AgVHhJ
Hw3q8y2z1KPULV1xITA3qa1Nh3VrmhyYRtweOAeKAqdvTxiK9gtMnu8pKP+HuR5LELUZH3cim+I+
NWNvT8Zl9Q8m64xJ1pbna2pZ18I4fAKlLs1lQTYz8KCkzq37aqMBn7XC8JsxdpzogMf8ZLQFtUCF
iAUwbcYh9YNoxaZxYrgY85bsV9U0B1Lnq56bghwvsZI6h1s8Z+1Cn0J7WI/7GrYZ+QaUsrkVGDok
3OuM0TsPklCigJgnS+QzqLYUVekkLPQuHa8vERDZDeOmhas5bbceA2A9Ghq7zQps5di7vNs35eju
xjmHgJd52jbReAghjjVT3XiSA+eEnpPac6Bc+QZGgkui5qZMW0bvy3HqP6CeQ2+yDvhj4VW0D5m8
xS1eE1V1RMNAAQVtkKSHYo6BxTZ1lTgXl3uxNmaTj1NIM8ejfTEtcYqxoycZUAQyTU0NgBALIJ5k
0SOHuh/BED9ZAPav4EZFvSvz3pyuoaxyeDy6bSdHel5Vhl7SalrPonYB6WKKA8yEZHzZt5m/6uFq
RkgqMo+6qRHcpkGLOkDsNx8M7aM0TH12O5edv4impuyTopHNtn46Ii+rBbSSckhlIfq97Kd8Q6uP
UP0AxR3J8TXD1QoK0AKNK8wCQUTAuStOcy8OGA75CPn1ThnSa+qD2hJfoT12zZhkU2eNjnrUXwLB
+Sqiuvk8rg76ENN/GLK5/yT7+B5khTFZJGAgBvydKl5AS4M/Z4g37yngwsbl9Xopq3AbTVm2LUlU
XJhhtYVuy3zZ5V0965q4NcGDmNKhhwspAwGNtY9DfYqEjzdMhG6TdXV/rOKcb01j422eTUnty/7A
oMk7BT1qt0CBrXRGF7ytuzX/0KsoPyw1SAC0vraLgb7Bh/YI+solmVnmTmJaD085ENIuY/dDUT1x
u1lsYgL/AbK5cXVbfCqcEEfQ4bIU9yLbl2pt0m41ahOVPtrO/QSygqhjAIPZb0jtnohmf7qUQ69d
H25jNEKjQvlwhGLULhrhTCUYF2WlsShi0B2yLC1YJG7KpV6dbqOuNFrilkG64TjxVR5v3BCJ09IG
k+C1GXdjHUW7taAtFIBanpZqrs/nkrdfWufETrr5amgyvsXlirZmKOoPw5SPu2lm84Y003UXzwTm
/S2/tUVRnfZ5Pm18NVWneRTHKSr2BXPLkUUtOhA7obN+COPONM2wx12udKhVkXZR649WaPK+TAVF
2yBKn+SdBHI2qPmGsSVO4PzbRLbMHMF9n2HjDP1cQLOaztSuGxsmiHCc9aAON/u+Ltek5AVURWxB
gghR4c7iKbSbqufDhkwdO1cNlQds7Bfsi3Abso7tAdHHo6wPMEEqcbVhA8/vp4WXWnTOwJUYWt2C
VjPc9ZFoLuJCFB/JiDTruNsNtaLHYcp8CpcGe014PB5FI3bxvnAgKzdsbjdLSz34zq6Vrs3ovrJY
FildWg+AsjMDTBwLtEekN2exMF3Ccii6KALFKzJDd9QvwKbNmI1biRuUgstsYtqoBwoesI4ntaNw
piARYQW39UYgSj4kUVHxDS97XVaKAPmclzRabL+tp6pMqI/by7my+b4tAAunuuo3LVyUSmIJ2COg
h0lLWzenoprnTYUU9MxxUbktDl23jeCu2Tbqc5ppBsS+0FNZjaeL7Yr3UoziGOT6frsIukKciqNe
LsqlMZ2ac1xwfO6AAe4jYHUHVQ1DsgSabX2X55cWeiYNBqY0KNVruMHVG61mtbeRh8EsakHr8B3S
KltPbFPcowWJM9ux8aJey7PRAcEfo/WBdaFMZF2dqsLFmkyEfG3MaJKhc8vFKrndElBLP9JiiY5t
06xEL/PAC43EcJONxJ10jVlSw91ZGMfPMB5uNfPog6uq8TwaGpsOhkSatCIkHuXT3mJvoZcN1UU7
NlC3YR6qUcB3zLYUdL2MDUd4JAU05l22Q6QwkO1ztTEsi28nTMqNLYsvFZ/Wk87D6CppylUmsoA5
OBvDsuOrqR9G4FbbABfcDpi05fvp/3ByZkt24lq3fiJOCNEI3ZwLutVn39i+IdJOWyAaSYDonv6M
5dpnb9vlvxz7j6hwlJ0ZiwWomRrjG1MqlVKKNZcRFCsx5IJxTExr/E/+VJN4bhsnK1zaPjvDUJyi
IYzyugjXRKxuCI6ksDFdxHoLevBzJPSa2q1yy7gv2efaaJXg3OTueen7TzbAkbdrQ5260M4ht7TS
i6uwYdg+5PaJWbwtV49bLPxKPCvOz25tIUqzWe3mYRlvmmjrnttu7LChqCKdtFcfZ2BREHRWAkWe
hk/hVOxWNQ8H7pfhTvGpfxutGDPSLzeqMUvidBjcgeX6PhRt8IU05oX6c3eeOqaTal36ZIuW6sjb
IswlG1hahxWd8yUc7Lkv1PC41uOc2Bbnx2RuFkiXeqnqk1esdSJE+W0jMNtt64jMbUKSbOvUHkkB
iw1amF7y0StpTtplS2Ur98rtpkxHsDSo4/FY2AEqm7T1ngb+9m1BRXp2CuZm81ZcnMobH72whtK2
QbxpkdxKB5epd68QKvGMM6A6wMzjZRS0MYNXfidBigHuxOr4yqpl3gW+Ptq6NDejmCEbN8snXvdf
y0qynPUwFOagX3OycbLj89wel0mFftzocPoK48PtEkeo6VnytXxtItm/B+ab7BnOmoEie1rALYD0
1iaMbu1HoUyVUi+0x36a/WNtluluoyu2kDnsxowWfNgX0o0gd44i3JHW9ZPlepbXpVCQ8sLiQcxY
vAqxNftq7OQjdtcloborUilqkRS6XlTsMV/ljRoxk2pnW2vIxwMKRlXrT0U7L9DWxgJKVF1mo61K
PFZ3PXqMf+596h77mRe7ujGwDQB93q7dwtu4lOSMJII4z6qRCdg1xfO+MjXBCb0v57zECcONUUY7
2EcDrZbYX/t6ykKjwFsE/uo3iSt6IvCFjJ7Tga7Q2xrQGEOq5i3ucQR5gmTc5Qqm5YHV9V0ZMC9D
Ilbk5QZDx19ruDr1ZnKitvoAfJRg44j0y9aqdYlRzC4iwQGv9hLaiDUPx75e4sC17gqxunQzW1UP
0KxgDteQmPSKcpCxWqOMXsLUCzc3EbBkclxmvimiodi5srI3S9GQhJabnzUtS1xAuUlo6guz1dvU
bTb2/Wrcw3uqcpc7mdlCE7sFgTxhuD3NHi/2zezf9bPqodL0KD9Lqp/J5KvEkIXGW2ErJ1NzsbzC
J6+SNsBJWpHQfJvBPLwpbI/30plWaO5SJAoS6M4NhXexMDI/dCGrsSyg0vbitqXyqxbC3bHC/8S1
brOZdzS2yBAcXFI3B+a4J6GC126IugNrB51Wxj4rF7p443vTnrfDkAbG37KWR+PHKbRhtFuLecy0
72P9HTo/2M2sCB4hm9Zp41mz83RjLwv45KMuqjUvqV9+gtYv6njuSyjLw6ThchRDxvgAly2qqhtn
MtEOJ60pDVHxHS1G6QmVgdorzfh+8IWT9GPoH9t2I6hhR+8ZkgIk5kjRU1+GwyWYFnbHuYB3P3OM
QhWhDreQtPNwwJTFcYrmolnG+62owrtl9ep4K6HoBKK311osOA3L5KNoqz37VsPNU/HIFz+KFzzD
RzJ6lROTVYTvFQCfKkb90t91dMGG0cNkGlE3HAsrhgs2a5h3UcFOZgw1XCvXYXtL6/bQOZzSmBno
OyYYig8bK9VBsokcIiXcFxcaU15v9cRRSZQWS+u04YgM6PFTXwA2l5Uec5fwJavY2CrkEGY/Vh2T
ryTy+ke3982NsD1q7kbOm0gWrGQq5pvThzEXNbwSIbvqTagVn92HUyvSNRLLJQQQkXrw3b6MpXQw
ecpmV69XQ6pQ23y7OU5/r4qanpqi00/SFTWqiW7FWRBOQmbKcDrV4UxkIuRo65RtHP7JVrvu+1w1
/VmKuf1M2lDxpAwXeTetJRR5sukqPLdjhyIgMkqeh2gE+FUbG5UpWyr66leT+TbYuh+T1Z26E5UR
NuZFssiJnY4Wd91cWWy9OHGfiQUofulZ59DEnYNwbwxh72uFMMWGdfGbWJWITqjDwr3r+dhXF8ct
i8RydyJJUPfdSYddAKVocMyTI0r/hTft+IV0WkMtLISMsIYBl5mxVH2yA5nSrZ3wda10qrOwQH9r
pOVfGl6bb77vk094ySyGpcr7bKaOH9tSap0CVhFRwsOxsfHgOSBCwZlH+YAjHfT7mu6L0qOPuumH
m7UkXoudsVq7WFDlX8qhBbYwk3FAveRDJE9Le02IcLE8d1sEdt6oFpEN//v38oopSAYticxRYJqP
w7oEPK7qCX/qESve3C24E2T9bj2QhpfAlj3kEV4W+3Vhy7MqaEN2c7vyo+y3zcQ0tLW5iI4RLwb2
WQ2PEs7xXhREiB1rQcxU01QOj5PUtZv7rfTzVsLfTyflNY/wKkV9aKKirJIRBqyXErhhVbK1nRev
BfehbFDM+sJKr0+HAW4rNoQS/Hy7ul7Mo6I9sXloHk0kx5227RJkI7N4IMM64JG6IE8Fyn/t+jlG
qXRzsBOoLNoBFE8N68rGWkDdSAq2NY+QNMQHyPA4QXNH+7l1Z/JJDWw4Qj+XOW9l80IWOdUxD/wF
fqgad0W3jl+G2Y437rqsxzCQtjpxkD83EGTx8fUAZnO7wivRyDFOcaIvLovCwEwQ1QKTza3+GHao
TLiU4sIQ08gLM8l9VIQgejq2is+uI+Q5WOUwxBPiIVPWhxCeElnigJTVEC2nRANDUPAYV/XIWvj6
STXUa5uOlcVoFEUAZGWI8L+9V1RnC2n8BYpAVSV9pXssFs2wvCkemCc5d+MXORWUQaLznDeHgtAP
lGeeoGo6ONytKkyrqPZYjLDL/NwTr381HIJF7XbRC84M4Q3zxLLB6ucX1YeoD0wzhNjkOweG4oD1
CgQN6vGCXgG6Rguby1ICHB4CmpDFQV05YiG9wTwY22SBOFsn0jbA2T13FUNKdQHzwHqRJ3aWzeSD
buoqSpoRMDgULIysfpL+SwSFvosL4+FFGBnAlOhJg5dZS32aKiQ1vLUfigfAdth3IQa3txWCDqmZ
ovLCG97c8bErmtwtoKvGzoJJv+F9QwBt1yUDzLaWR7DCwYtnWgwCWKEfGzqG76FXynOpBYUMuc5Y
HsgIAH50fNbGDU7msNXXSq7wGAgmT6OuyKLUm2/ToAn4U1k6GPKMYwQ62uAldBbOUT74FuDtJANv
izsagcSduNvuoVHNz05UyT0B63brwTB4FBU4jmbGwMW2UFxKFjaPa8DMU82jcjhWwcDecdiZ21RN
I+YGWuJgVRLe5iCv4ChUZiPI6h3qaCFz5RdUJRt0xA/NulHUWUrT4YAOLeUDtiITplFfF/IQrlbu
+4gJkCiYH20yw+L4VDYY2jXcqxtwKONuDVSdK91g1a1X8QHuFB4nc+na3c5DtKLoKMWWEThGMv/O
MFmwyN80EYpmqpiw3IfawxA28jq/R42Dzk10Tfx061DnV64xwCG762jm1jPWe1wEH8rX+bXxOGTh
mdP+cfTWGVZUIcdcXlfmDhtAzrdlOZOgEAnvlH7oqm6Bc+SOS4aiHjtQHeLHUJzJjspuvYQk6vEM
EAG5G1ihgk910zcVjpBlCBEVuvpVocJLQtelcae6Eoehvm3DKFmpDJvbclymnRmNOhBHqwNXDjmO
W4l3gU1OhwleMERu1g9eHiz4My23Gmv7TKritglCrJHV5mGdCwqFRYQYx3vBkZLsGgmwJxBO+dBj
fN+apS4uM5KK2VgG094RLsyyBTV10qoND2mlVTue2KSGNWVdB6W1c6LCOa4tadZYKQw4OgWen0yr
nHaUwnNNu9qg2CZQSXcl7BoQOHaLYunVWEk6ZIslHNMGSZfRmqdFu5iLXR/y20lPU4rnEO4Lw52k
9trepHOvejgiQ3BU8BPg2EcgTKmrgycfo3tXD04rUJep4K3BhoIq2d3MXov5IltAU2dYodiyxhB5
k84HCI7iQe75Ir29lUsAQinAUJng0CY6gvMBsAv7BSnX+dknY4i6sccmFUQeUHdvbR5RaDkyRtmD
wTtKDo+y1BEtk5k12DBRHdITjvH2djXTGM+6BBRRDgMSXXJx76BR3VrXR8HSETcOQUwkjrMgDaMX
52jtPBwhTeBugtIrhgTSuLNfGoMSsGUT1vgJy/+9xeFogkS9DOQkOd7dzVa4CNA4MzS2bFncyrmA
PFANziwaTrs0W/AX/P+vBPS/OOO/0rxflF77SgCT/55k/vdf/++TavHf965R//nHa2uv//zt8v97
gv3jb+2+qmvgf/j1l67f5t+fhav/69tdY9A//eVvgez/IXL9V4ux/+GHP+Wxf+oS8GMemwEADdGg
BZypB7wV2y5YwX/z2X8LaP+9/8B/Ytq//ai/cttoT4GINQeui2QBAsvXbPT879w2djyEr7GvIQLA
wX//kNv2fHQg8RF18fELwJmHf+W2g/9DcMa+tsICjooccvDfBLd/Qcx/9wR+zNNQtTrULcy6L0Kw
JFcZeG12Pzylf42uf6DY/7oE83wXKTEskd4vMRZvDccpRKmN2CMHd03vyzr8+s+X+IUm/9slrnf5
QyqIde3cL8u07gUpzqriOJI5yYTTVMzCMv3na/2CXn+/1vVdIeqH3Du9jpkfr+VGI4Uw5C84h9bP
qCRP3iAOjZr/wCcHv+Cyf10HZDJBBBVxN3bll3+4J1u0qEJdiDCetuPJLepTULZvzNqjN5UA/SZ3
SZHETpy6f0DW+amUbmILfyeEfyISMdKGXnAWxpJuS8Cgzg6u4VcVQWFCkPaMy56XcsiHCID72Fd3
EGYe7DAtSWdAXUWofZ3ZuXRgZK50cRnX/eSmjrcdJsk+ac4/VBM/LZ2WMZ+kSucK2KUEOETcGzJ5
YbwpZmG+eiZdA5i5HXcf+w4GZLcUn5xwVf8dOX59WmhzgGmMlwLIn/zCR6PAmrtoDRacVvi+MYMb
I65/XqUM/oAx/4KN/3UhH9chPjIumH8/vxbubXodTbTsl6p8DAQRMS848Bn6gZY2dUL+h+H2m6HN
aYRULkBGgsrkl2EwB7iFzSmWPSLEmdcZqENOOjRN2oAo+OeR/Zu1AKk68NFoXQVw+teRjZGwtdTq
dd9AliUa6QXG/3CJ30wejug4UnUAwMPg10G9UVPNm8ElotnLlw0JRSHjSbWnf76T72mOH3D572/J
w9x00asBbE30y3AgJS+M05Jlr60mQBXNrV70TgAMiRlhUFGb4lvAkbQqyYbxLRPYW9iQtf46kPau
i5xTODd5CBTrD8Pnutr/CPL/7Ztd3/cP01r1pg3w/DF+OD8O8BTjfhwel8AcVrTATIoARsvkRAcQ
6sdgqQ5gJSiYsP4P2cLfvWvsIiRC2A/7DPtlUaYT7VtPtOt+Q+KhD9zHAWjaH+71d0MX4oaH0Bkw
+/DXzMIkJHGb3q77ZQD5c9+z27KL8n5kf5j7v7sXZHQRIfSRbUNS5edHatHlQUQlpqSgOazqyPnw
z6Ppd4PWD/DpmIff49Y/f345d1uPjOsK7JrmSwPTqChucJz4Qzbht4/rh8tcR84PI6MAUhOVM7bi
xv/CwyXuKhNbreNI+Nkfbug3ewu/9jQA8IaQOAzOny/lOmoaXB9v3yflRUPouhKtNxNpryv6PqLW
xBUdzziIHWaz3CMl9Y72L0PMfIPOH/62X1yY9qv35pXkoTdjAxMjsEkNmy/1Tf81GravJQVZyc36
bSDws4BLnXk0f7CRuKuo98ls0w5HoWfjwtwnaD4ZN3YuU2/SGTD9+1ZOVTwCIssQ4r+oSX82a3kK
o/Fz2fIcPOwhQsIwGfDNGVyFQsJoLcouhXbwhxXrd28F0T8/IC667qBa+/lRNQSCo1R4K4y0X4Nu
PIwD63GgWg6Dq/8wKd2fsynXIpJRvJbrnHRRloa/1BbBwOcKmsi2lzac4LmDJ9MB38Fd2iOSl4u6
et3mFVyVct/G0B782e3+NDZwPz+vnPgKSHoxdm3wgVz3z/cbrNZvVSTIHvHy0wSvKbTdrgnZH1bo
v8+pny7zvf3GD4P9f3uZv+/WjILTQwMd5Dd59GtjBlGqkE5LhbfHxliDsRkPQQs/acgX/fKHSfWb
BwfoEFUh4qL0bwOlcrULuSzY9ohOfemuTmJluhiH4/96tUN/CfRbRfIevXFQ8fz8glxTTi2Ay20P
ARG4sgu+X/xvLsGvhxaoYKCifxkDsxx9LETbth9J/14bciLW/nfh+u8jHRgcsuYMyxD6Zvx8F0zM
/VqrYoXxSYH5BO8CYF9cbNHt3KoPPoMGhQU/KVSj/zChfzvJQux46L6JzSLyf7n0WELe90O57WdA
d+nK3Uy6oKJ44+dVAErJJ1OXNY57jJryHcG7HvJ69O2fB8vftyxcH8UjNkWcif5WB0Ee503QwPcl
ht6WU300na//sP3Sv/KSP01mdOe4nlOId33IaGPw81Omdqy040d2H3VDHHggnIAPuV+H/hxgoVR2
3sNIjda9451DncPMz7gLgQ/nBvAszitZ36r2q/Rj2u/m7t6BvfUKVXITn02XtT54xSdXlHELAZou
CElAOS+AMdFXJQ/jGh49aFj8jVfrY2O7k9c1ZTI1tsoqH+iiGtD5xgGGwcM0RNYs8uwtCOydPzIZ
t653U5b9u5E1wp+v5FsJZl5PgIPBf28cJx2iTugPlPXSz9A1ZLe6TYpmCXkbVJjacHLmHfBnWCJf
Td3EU8uBNNStxobaIS0zsH3RITqxd4F6IeNQUA3C/zOJRNoNes+cCm1MAFssK6r7ZAyDVDvPgxZx
75MTLHZgP/iSQUf2pZ7yK2FaAzcBzxerOUoX090BsE0iE9zPtD2b+c2pSRLhpgdkeIot78o3DsgG
9G5ZfyhG+lB2CmZBDR0IuQlNo31b+wc3BClTXkL1XjUH2IORkSYOyIILjgfqkIMVsGgQ2eOAC4xs
0zY0LQzuaQ/DqIAWi/29kEfitlk7QUkcELBqCT8A8N8RGABxHyHmBIQRMcw7aG0ZJg0oPPY4opDC
EE087SDq7j/XnY9ObuN5ZWRLggUsLpamg11h9pLpNShx5AZj7B5CemQcrA8HwCazXt+WNRypQNwY
/TCLbwPCjzhHDlmo1uM6lNcvUO5GRAgWgWOmrnXskOqprrwzR28g5ArbEWSdnrNRHScNl2P4uAi7
R2bjGUDMIWieODrLsTY6s2XbqcZHwmbedcUTAw5Riy3perar9VlChkSEGBhBFQMyiRHV7LZHB/Kg
O6pb9FLZ89nP4RvcTWga5mxgSLl+wvr4Gdi48mmKIOntOARxZXqdDJPKxgqOaHXrAVIEsrTuh2i7
CdWWLLQ8y7kHd+vVqQdAyvcKQLteYkSd8BV444gBbjLA0GijRtOOXZQWaRA9IROJywYB0I97s3w1
lgL1uIxeruGDKGcBY7tm6Bbv20sXHNFsxsKanrCXQSCPPfN5tfe2fWidfST2VQB36+SpWzD6mTuh
vn8T1YXqxLy1pX8AMD3po8ETM0BG/bd1OfogAxwVpSUiiEAYh6892OXW1rGHp7U+hYiR+SHgcpC/
T6LNqgpks1N+xDk4AUwMouyu695cJ0wovfVtEWswFhFPI7MTTZDWhQZtqPF0VM5nBIPoW8mRbbVF
IjoXsJSbIKYJoRl0/Xp0NrLn9ZLIheUe2+6D7om23xZiQaodOveMtnN6h4Bd3/Qx8IuML0O4q8Tk
JGgutd2MgGLT0IGvrq4O92jevJZcJlHwPdMeaqdBAHjvtnQO6PMwlk0K77y7ZZ3OQKuDsqKYQ15z
YmZINzKhY4bAQRFuIUjEJVpiw1zYGdgy4KlELNsg4H6yMzuOE8rgEU0gYmcuDxO0lDgKou0ITfBB
NlLk0JTKJJRAqAVOfQMnJ9sgVClwdsrwmSL2g+LdDcYWP/PMIbSz2VcV2xIH6VviUfs0hA6SQSCv
/Tt06D9tbvdJUpqV0bbdIOVTxxppmlT3a1bW86F21wFmHjKOZFGI9RSYHaZ73CTMmnYb8wa/CCZp
nM60BsqwNLdhR9E8zxWARFqWOR2J2dTtPR8pu2aEQwGUq0xqyS8jMCoSFi/CuwcEem9lDddzSQKD
p+qQlPNpV7D1o0Ujt3ijFeI36LSQAtqVgBAWwJFeTgQipxAJXiOi3xbXgVLvjrkZ2wUlv/9Ar2nQ
eqQHnBmWuUxKiePAlKpgUqdtJX6iRmhXiDTNQq7xMHR3RVt/Ckb3vmAEe3iwiXio5KUv7EEKTOGh
8iuklsCaLFWAZnPhRzDHl0avd+HifSTTlzGo7iRgppqy09w3Jw60O6YIF2LFm74A3tSx6d1nCYE0
nobgfTYfkTH+5MHmAQapsLRviFwG97UmJ3AjT3h130o0BoA8+D4YG+DVOyflbGBh5ktb6z1cxVsd
Bjllw0MkbQ7QLCnL7XM7BDoGOI1liyaI0Tx5doE/7mk8BdekDV/uRNh+cFdDsTUBssYcWHlzjuoJ
YQJEZZg9zB2rE1aY02yCj3bUJTbi7gjX5h0BmWfP4uut/AmeLk3C1nsyrDiqCQ69Wu6VDBMmy2+l
DMc4cuhnTZxd31H0OnDgxizFvh2d1HUxphYOdF5xtBVjCAAi2nTdasuwyCSfAchodZz77kEJisiE
6+yAGe0CkJ4jA1DmIQuXGhwuEnBU4WNddzwtOCsSOQ/Y0RAHjHmtyltgIk3MWAQylyNB6c5PxUCf
QauO8TSqc9uqj3CYEqkAPDiuahO6FW3S6PZRLPVnBfCs4IgM2wHRfG40MGNMTMcd6lT4Qx/X9aoz
xpTYFR5/KNCGxBm6JpYzOZBNDKB6vGPpdAyfiEXVW0gmupGkCGHnESmTSqC9qY9/NPY+Ik2LldBL
odlnMH6SwQW4FfoYibQPpri30aHfEJZlLnYN7iMa19tgTgprob7MkKlE7yQ4rjyXI32hTZ8EwPhj
uUYvyg5dGrnzQ68qgn6J4HxMg4ZrKKviAdv72vag/euDE2Hy+l6YO4V4blznJZh45rbQ2GYkwdxA
Hcd+NhnY9f0gsWFAmNGyuaOFczeQ5g4n+wNQ5Wz2t7uhd5F9RYSdVc2HSJJj5ePuwinfJAI2tePu
0QXjUZulz+qwyClVFEFC74PtMDnBy50kbODEkGqLCwdPik5ueyJ8PlmpptgYhP9qhBx451yriS6T
AbtZnOgoyum+a7avooQ/6UsEFfSC+tUXH1rldfDFayyIg8lRVm8gngTKpaEJ4jmwQ1azsAfJJ1/L
ZsrQuiGZwRMAsfjgCwoOuZrCXaPppRbNbREYllQhNA2I6U/WQ1m3jEGyAX2YHO+WhoA95pHct16L
XgEj3GdkIwIj5Y213m2rQah0HQoIpryHzQO3dl2jA5mNhu1Z11xQjwMxqdeXMRBlggaxt7A4HwMV
oD2IsQDtkWDFC3FbjFznIdqg6EvtxR2fL0AOn+w1IiqD14nVL9JvaOL3y8MECC1v+80cg3pDmoTC
YFZoEhHTQjz0zpgGlqJX6uCjr4ef8dbs58H73NHgK+iHMUFeGeQBDPcGQTTUjoofW4u9+npESIqp
EEf4s/XVgndPvpp6CPtdwj12wRCpdsHE/DhqwYgiDwLgqt/OLUExWYXTU+HXt5WdTwr28rxFF2m6
KQ/Q08EZSQ4I87gVaGrRYcQCC/TTZiTBjorwDNYL3JfC9y8P4cgydwvhQWFPrDRIc4RB+9b/aIMx
p914C1E6qXtsSWGbqZG9oq8Ufg6IiHpY6RBzR1ShQB0KPv+u3FC3zPAeDE4pvm0yRzdfGcMw9ZDO
jXDPvDpWKNUj7R8xdDIipyMHPblNXIJgVs9jsOUtwmt4C+uphNTUwH+3oMYn3qY9raZ4W7a3rnUu
Vbu+gTZo4m5t9+4GtpNuFxevNlnsrtc9Ug/LXTQEL+jaiQaf8p44XxqR6w0nAoR0D5uPqd9qfR6q
Apy5UV8kjiAlNLJoDnI7zjkCtTs5jO+dM3ykPEgmOh060zyOtMgmiXIBjffApEcOSXrUpkNoQGbO
HzfW7IZwyEafpEQX2ebeSdnukNxIjfliVvj8NdD+uX6oPYSCenJii/uotZdPyBy1sr63yNDOPtoT
oOEsMQkjzhuAmaPrfgxLgNeI9dTRZ8Nyq/yjt31A+zhhbon4SqfxoA1S9nOEt0CeogjBivHSbduh
bU2GBqo7BF2Rm+KXJSCZNw832j2Ad0WDuAwbbWZ0dI60+1B3YJCn6mtLD516ARyXlAx5phGwGxzV
m04jkjqwxGfIEQmbriAw1AiEfqSZQ7s8MHh4jlOmq49sHzOHDbFbxTYkYZfoztPVbhDjcS1RUgzg
8J2pQT1h9WeBLFQ46nNByH4RRTJ446uZxSGYkSzmhb0hqHuZaFJ/TXtOQdK2l9Fi6YU4TNEuCsKM
syL1EYQOqmA4aYidxEXTHEXU3fvSuwxheFe3AKACwG18PoeVuJ9DnvNxzNB7dec14Xtd2gdtkNOT
9N1SkNCyiY4bZdlie7hcEdTZHos9wjSrz/CCEd/S/Ib243vU2dcKuIKu5tgL9Gnk8+dlg7rR8cs2
IeJdLQ2J3e1b17XvGoX4tBSpZuWtCdSjxbhtxE2DE2MMM6JNGxE+d+R6yJjRyA1JpFd0uwqVTRZg
nmu/i7YKoxV9K0rATQqUwx6p/U9Kby/lbO+YTx4lAopoQlC9hMbbNZG7gyu5Y6t6GSrsL31JUuQR
Ma9tTla5R770srTAntlND/bYaUyMcGYMhuoYIXJvN/G4oIEOmj0cR8d7xtKQugs70H690Lk7sXC+
g2kKjzmJOnrbY6Na1uZu40tS+OQ4VGZHJpJzrOaO2cFIS1YRnJutZwmQ6pQDLtp0s8VSoGNNiXXS
ATpcommJGpoUPXoPyFBD/gbH2OHlF/43r1KP4brDgc7ppieuKnREkWdvmo/BtZMI0ffFvILB93LE
Ma61/zXPVz+QbT6roc89Hca9pJ/RVOpuGluscaG5qXV94wweMrA9Nlw2IZWvggxNGj9XQf+M7kU7
B91deIkI2GD3Gv0T2Da+uPN6AFifoLA9bqu7awy8tXrIEW09imtIrdN8Z9RtR8m5KYd0weLvUPVx
9NSJrPbWqBnhbHnjIY9qNm/ng/PzLfoY1zylxXUTtmlt5EcMhG+jv96iOyp2s23ICl9USTWj8fNQ
uQlOKel0TbLBvSp8CK5OtFfTln/PXkmWdQbgXQ+5xvNT3yIwjNDrUZkN5el68CYo+bMX7NAwETCn
8/+YO68d17Fsy/7QZWGTm/alH0R5KRQKo3AvRJhz6M2mJ9/63/rDeihvmZORVZX3ohvoBhKoLAQy
gqJo1pprzrGm56Fpz6ExbpnMLBOsXkJ5G1tM504bjkHDAyAseeyM9zEdDmUANzexO4NRuM3BqkMe
5XeQjbkmhnQRN9VtKnCRVdlwnOaAXx6cBytcOYJTKpoVbml3MXvlj2mOVkV/p6x0YVbBRmOYLofg
Qynj1awMw6+S9uRmE1XdZNwDrSO5NBTveLIcbP3T49ym5ipv4gwi0HgolDibAnFkoqQp9N2gGz4W
XyIRw0HUcOpJ4azr0T5GrtQXOLNXGqm8qhp3PbkLnkuWb7TR0m7qVW1msCP6z0gYEH+mirdZts/i
hj6yDFdxWb/rpMf9VmArFnLpjXlEVj4kwGOvIuxy8LXJLw4EvIr71oq+iow7IEzJ4noC66fRLzW3
wIU/HJSYXs3RftdiBzWrPg28WqK43ueB9hJikYO1cC7MaG3noIxc0BAJ90QX+4Yyw6WRNZsimVaq
d9YmwAPcYCuTCoUulXp8uLGm8D7iywvidm+m2tod1dKN08+qbr76hiryyhUg/MMFXA/7uvB2c9G8
isjhXrSU36MCTvpwo5fTvTOaJ6drDiGUNj4Agbq0KPZuk79q9ZfJk8NsiZQbiVzOU0Swrto7heXX
7kBeXDCLcu4onUZQAvZmdo1tP66beS+9iS+CuiguxBGhaGFIsRwb7RYG6jYO7KONvlO7Ac8WtYjG
aJkyaaD95mQG1BAL6DG8Mxlt6cYpGr1HMsF+FOuHxPiphuqcRfnZbN2DblmPsS3eybMtNfqvUJgn
op8LQ8vvtbp+a7yGHEpQr7F+6bj4rX6H2ss0TZ9PgzHw4hHLyAzXA4Zjp9qnBOwTGZBm0cQbcfd1
p9LN1Dq3xhRoKH3zPpyNYx7EO7Kam9ZTm64ndKMNJ6+f/b6a/UCXh2jWd1e4USQpf/vcWDsZGcKs
leam8qj9TUKKwspviDAUW3Oay1WsUUfTL2rLwLUbf+i117BNnnTqpF1npeOxc6pq3cmIVLZtmksF
92U79NGTNAaPyrqFoVJlB720PsHnaNy35rQIcoWtxCt5nPVfYlJvY6G9FBo6ChchHJOLAMeTT+05
isxPmtczMZsnHkSXIaDTL11uItOdFrlbHme3mdZY3bnrKo2QuiaNeWO67osjvY8RZ7/fmdrZ6rt2
ybCVZ5oWih22vI8hDzdNx4fT4h5H+lW+dOpLN4mtHcgd7SmACYWANsyHqZjPhpiGnSeJTuaNgJrW
UHxpxFDDKwSMM4tR9jhOovLBgP3stKRftmXCdLU/RV7yOIr5JCbnVQ3ROUEV5TCb215Dr5sY+Wlp
DlqhxGBdSLlmen/gzY0NKG5f9CK+HdPio5i6zeja6wJhoEqaJyeXL05d7qauQ2w0kQGtbVDmoAGC
XdC561igqjQ6saRMX9Pyo8NWJEo17b5NuHwbrXx0k+pOxTU+//nUd9FBNdYtGz5uLLtbRXP2pGbv
YrUl9xdLNzbO6Hx6vcDW61EPlnya5MSjYZ12/XmU7seQ6duUZt2eUNCwNOd5BS8uvCILHP1VzenB
CdrS7+HLNLK8SMe9zF05r3v4ocC2w2YTBhiOHOcaEujlY9uo8xxkK9JKZ5y9yCGVPCd6tWsAMvHJ
rJ3nihdrLLZ9aq9D0s+xGIAENLPljwUJBWW9qcleTt2wyqry2ETqQeMhm9rWTnUd3Xq7AmFHKN8o
TrDunlwn/szJ5ztt+DRZjMBpjBfR1DxmxngBkfFkOsjynox4yF177YIH9jCfAxgZNOHVwjL6eOma
EY5czf7QnQSCl1MbKIbpg1ubK5ATKwC+qynrSQnoeP+1+yxIbwwIOEypxmWp1M3QlIyFNZH9NgwZ
RptH8njQlWsukp6pRU1btkwrtSoSRbyaEZtVfzY2WLaeXluKJrx4oX2Go4T1uwnsQ0WnKK0u8y13
PMazTQWY5Ii8wjtiXL7PjfCUdHq8KLXh0HTaRvXR2dLVm9NUD2aQ7ulbdk5m7UqMYES28/IpNeXa
tqJ1aJnn2Q4vvTZ8OFIYq6posErn5prUOuY8EgNL0Y71vo8KlibU+rlPncdCE59j2NzD6itWumYR
bYxquGHTKu7nndnWj6yHWeYsmhnQ7/16gngJVOnchfolrCCtaUWbPAxjmyIwWi5vJIqzoqr7TWoy
6BnzgiUNU+bbyKlxUe71wV40sz5ugpmkPuP5fO3K5KAqEHZRXa4GzuqyTHBKO0NEPQDjf+ONekKB
bTS0WgQavcLcdKp5V6PFIde0qfT+ASQK820GauXH6C5fdU/aq4yMF9Kl20CCAUsKMEfE8i5Nmq+n
mf6w6Z/6yOuXQR3eVINzqFSyNh3o89rkbIdx6vyhye0FOfnHmnQEuApoJwmo9Wg+2xVjgTIsHudG
BzSk0MehYAVLpxUX6tJpHZd0YJMod3ReD07oERKWN8PYnEIeDQvA/dWNUt14tovw1Dnq09Qnn68R
Y4eUd2bRvCUlFZoSP426uzOunucS8xIk1KRn2DVTL49Acszwynzk9xn9Y1LLF+GMd0lsPJE1X9oq
fmYi2vil28YLax4eMyd9qx3u0qCDBWf1zyJUFP/d4FPPkVwridYlUX7Ux/DB7rIncnAuaJuG2phy
xuQll1fTiuzBoZm1fZjnt6GSgLn6u1nW/MswVMtCH0KGWeWrDDF0wY5ZwSPbqnZeBdZIw0xQNuyN
6yykAm8Treiu9qAs7jyhc0vGB5eayM/HbD8Z+kcfTGjjwn1m1AiyLn2KPcVzpVoNtBxDwDxpcO8n
3mw7UZrOyuuzjWskZ7RwTldmOUCFVb1ycoZ7tj5cnNRAQPLuXBNU4+ycUtLyTiWOPWHoFozNotOJ
X0coUJZX5su4ZGjYRI+Uk2dn0k5ZV99g+L44gAdCqJ9RKFYBlxjptV0CTn1CmmDIUpB9iF1GVK6N
gBzuwLyjQ1e7IpbPUZN8FEiXejLuklzdRlH6XE3piqJkb5VJQEJu2OSlcXTtYkNs6DwF0V4N/Yfw
nBdAQGsrGTZapN1Yc39QqfcCZeWFkvdI6fsMEvVgSjAnZnAfC3cDFOch763HPqXLC9xlqYunuJ0p
66pdr4MIwU0EXUK8DJVYZVIDCdqjHXXAiKY0urVcOJ7QjA5tWa4yPd/UKVJFbKwxMW9So3QWraH2
lalu59K9s9LwLYng2mRld1Fldx7LB695r6R8drT0PCr31USiiJxhO9D7EemoV1mAF0E5H5agiFhZ
zWfPpSLLfNPJbB/Y0auQ6c4EAkXalklkvhG2TcSHm0oN2UNTW08uI+FeGRhDY/UoC/1u6NGC1fiV
W/l1Mlgc7DzYzyWybTT/7GeIWdyp154l0bMdPpa9FxDe082bzA6f9aFa2RnitZwHH6TfUxC099R1
oV/kzQoPQYAmDyp0ag6ex4xzxq3rN5p+U3vRORsrj3O3HxxFV0W4jBsYg0V/a1QzbrlurWrpE+M+
z4SBorx85p4me1bPP4hqyZVhhjejm3yOM3pXynKbZUMF7sXJF/nirajlz9mrboHnLWRaHVThkObX
nGmBxQmsXQKwA0MMPyPapPRHhiA4xLYk8FakJi9eag2My7191ehvFLSMl+r6sW+6ndUFp4HcPlw+
7wT14mNMCgAtkHzwPSFc8ExbFA0kWYcxDda8Y60t2Ll0wpUNScVAuS+zW8sc3qJSPuQEg8OBE0zH
2/By1a6eNwS3Qj31bn6nyvRBy+XCzro3x7Y2Y1mf4U7tmio7seDioNX6y5x6X0gLguIv9xDM4AhY
d4z0bvMsO5nesEms6GB06bGS2baHCNyEIBIzrlQokqvJtd6nyUKHzqFwMvl5nzT1TLrS17LyYMzl
be1aLxPVC4rCDbMuF+8dooywo4UOXWsBCMH2CQHdDGnm+mimz+gFyyQpP9xGsto22owOj3WnuWMM
8Bqq7AIZ+hUDzxIq5urKoAggKTgyWJnwbCa79200sUWBL2XBnIhIeBidK1ffNS1ynxK7JB7urch+
kpG3gqF26ipgo46TrbjJ7iB083Vjwusj4wM6uh9M8arz6jV4AtQOMrKmtxJhuqlCpkGGam5y1bxY
w/QmisG3Cv0hup5/UizMi/RiQSIYIbxvnkfVrydYKXWGvFwzofBGXOJZGty7SgN/qxWP9ZheQKx6
OyXFruqczG/jm7FJ3omk7mXHZHVoo0PZymorRlH6rV589em8mloXrIJxDKH4M/k9dCa75lsAAF6G
h/6avlbslVCeeZfGhZ+4YuWWwa2rMd31jJ3XgqRRaplcRwdOyTO/O/RMg/Ohe/LK5H6KBU+c6KHP
qnid2Pam1rWHQKfm6FGFeYb/LA1rKUqNxsNLNrYTvpWYYmUnqoXo1JMyLfhANqn9jlNAV3BMg6ng
MVJ9DvljHaV3GXlfIuDjUhqOc6wbgzOWZtWyhTCwjEW7g0W1SDrrYNEtZIPRAvLqNlJlTHdsX3PH
r3nY294dDf8aVHJ8BacYNFPwpbyh3vYlKFcXSHQWbCGeQyOI1+0oQwLEbwbRPG22Pwhzequq9JLV
LKZlnDtrW2a+dFesafmoLI2jDxhddOGXZt0bMny6rvTq4wc+ykt0fbfaotyMTFb6Pjh0gQAFq13y
Wb9hhdE2s+tHd2b5IGE2oZ2UG+3wZjFSmPH4dPOi7d9jh2xi1r5l4jrHstgIwujEK6l54Sod2Tu0
I777yDHZVxbpphrEFQpG2PhjnKxLxYN60Ua4RupDmv+8am1VF94rSe9T8/iW4ujF5cK1kz3htOXs
aR8RoC92cG0UykWSy8IfUAihszJiVW9R074lUhtW8OWpGDX1ow5oUC1GF1DenqBj/BxgnLc8wGFy
qW3K9yOm/nOOrnYpNOQM0KeTWo8yojMk4jqlcQZHYliZquArcgu2ik0QRJ6ngp2KjX0uMfIuMWUs
ywiko2seu7q4aSFyWmiKMXAn05x/iMbzc20igZ4Wj7qV7SpnWrGmzS/SjA0Zjrg384GWtcuiJbnw
RdBSuEHFuB09cYrTFKivg6gj9BuD8MciHOSRuOpbNOoHAmrICrzI2KiFhhVD1T1VNLq8bFxrPpVx
shHjqEEPh32mzMqPRh4vlse0BPDbvJSyvcUJoOFnjXaecuTSIne8SEwa+jycflp59QTo8MG0umHR
zrW7YM59SXuDR72Rnh0Z79lHc26sxmdXDHQRzFiaKs9DNX51KYvoJlJ+k/4lim6tVQOPu/kGIP+4
6GDOREX3As/uNJvzi21tw070vkjd4+CwYHGMPqoIwVTT37o4PGCz2RGG3ibeVfKG77AokmY5zN3R
qguwlWqB+5OYdRYdLaKc1mzurZhKvlE70XSbKAUY4UWXgCFshowcNDRtJpE/pek/4BWsYrmCM5fs
jJQaU4+BOpjMOporDt0N/SrWaIsowIJePcXAKhZTNa9HNTWwieEtxwbzfskAjCOWqetrbOPpdXCL
DW/oyp3CVRKpeU3Vu8gN892IA/za1RT4tWICGJLuH0IG2ZY5HfJUHoYs3zVDspxmczuPzSWfImCU
HdYWcDjh0G8HnBwGVKnMmPCPYb7fT72JYhtxZps+PusCbI1k9qCZ4tIBoh20CW4FZgdhbrOoX8Ic
UnuCl09Ox+ZIw+HF6QoIBsH8g3A0D+9542AwLp3mHFRtjwNjZoDG8N8aOz8Y51VKRt23y5FhFQYW
i3ItJA+qUVj4dh8+wh+8EzRfWebewIq98nz1RZ23+ZLNXS9x0Gy6iOC2PucrARfKL6v2xiydfjEG
+QlO9XaYeAb0TDvbfvywlHqRBpaFMf3KDRScoX51rx780bAuRWrzHrT5JWEVnmowHOumRnOco/ZO
K/Rb8+qYQ+u0m55VRTjjV+6crc2p5M1+XRxmyK9h5lVRM0YxnO4jjIqDaPWfTL6f+0huai/dcQuh
ajDZtBIXs5gOqqRqF1ggtvOMacACAWiEmGqi0LB31UQVD6VvHYXpO14MpoX2MPnxXFKmy9sJxgwm
BlwcTphvM7qGXeZMP8fE+OwqzHDeYrbOYvwaO8D9OP87MEqwdpzg1rI+9XY5ixfhrvEvLFz9vdYi
bhkcXQytpmYZGq9BB2G2f4Yysqi1H9jqljHTDJZHxUj7ooKqqfuWKHyzPwYMIgK5mcp+BR9o2WK6
nNZOCuZ3WtkTMqaz6nmAVLgSZiTrO5NXMzNnCiLcSvjmYhYCDDw4pbzJ8Ij1H2H4kabvM1p9jKQx
GqNf08QYsVh55sNc3Tv9VhnswQtrBIV1Z1zoLcP41YWLL+YrTmiVx88d6QLALbdDtSlYtUj8YJdA
Obeq/tQDro/Gx3LmSfrauCBKWYDqrqQml8a0vfL82Mu64KeIMNhYkEY/nGE4qeHLjR/7AV++9Iuu
XopgN3PFtu3b7Ex+krDIIZGnjvrH9FjNofGoUE9tx6sNuIqpRiaXycFKPyaoAeHwI03092D4CjB4
z9G2HorlHO6nqV1Mmr4eE67Zt6A9BViZAan4OWkNz6s/UlMtRAM4n/YCeO/R1eROC9Qdb4vXRkv4
GjBVAt3yhVltS0tbBCMWSXiCC7e32e7KYZXGCWGBhIN9ZxojUXV2VkrqF0N5+yuXQZtpWIyY9ih+
4h7z+8SOuSbjpZnjobiSmEs4L2aylTkXAKX9VHUMQHlT4ZFsMncFW+g+H+N10T9UEFfS2Vjlc7qc
Upe8vkjOIabcSY82tVYi8oAQJk0OTY9Ho9w3FG1oNLvaCRZ12D9YvOAmjH1YNlZgdrAm5VeIzsI1
0mOSc3lEkpcw0x96xp2HszwPjIubwhs27ApuqsvLoO4hVWTGK0TZjzJmcYKa4qVg/dQC+wJ5+PQp
G3Mcr0W8AMTLMLdtMUz2qKWDdNh1EC1gFq3/oyzjGfsqNGcrzN/TuN4QCr/8BzVgEUwoTFtySg+W
m+5bPf6T3MYfHeXsYDZJAzOnofH+Hh2BQplXfRxN2xJj9LRV6Z/Y5m2s4r+zkhNN+TV2cP35L4GN
uDNqQN5kAopXx/Tbj2RchX+Ss/rjR3Bcg4ij5O+wTNP9FoCCm4g3M3HmLV8eoCKKhd9M939Nkp//
82i/Bdu//d//8S9D7Nff8vlLOv6vv/X/ZT6dlZOUsjZn+l+H0g9RlxXvv6ba//Ff/T1/7mH+J8DE
qiNSci6hor/nzy1HEIC/htKJkfwte27+5brXWPcs9mpLye6zf2TP9b/YFjk4fiRsohOO89/Jnv8h
nKPb0PyAhpgUDkRZviVZwEgpJ9OtYpvpoXGfkaJno0xq0c1jp0mdTTjD26AoQBT/5RT99Tr4NZH+
z/4wKVRPd/gwrND6Fn+D9B+72tAVW6HHM8SoDAHOb1D+utPQWfNO9Y19A0tq+JPQyx/uIT4wyqdF
ckeYDpG4399Dmjd7E81+iW6ElNanabDHUmKxy7K0DkQAtI9//znZ2v3trkUIJxjt8D8MSwz2af/+
L0LEMltMy9qmx5z9A3MinNBJjP2NMHJC3Y3e9zdjXVj4sdM68OUU5LwP7DreGACj3uGBDp9ZBoB9
oU/4hsHo4vmTobln9D/d12aKKFOEOqWy3tbeUcPQmS6xf1VrGQ8a1iTNLdmW2mnmu5dFRA4CSwQA
YiYKmTbvMGAlZfVjyLt+IygvaDHaIGTvQw9rBD9FEp8KJPXtjMWBZ8I8kxkw5sw7enrMUp7cnUj3
pimnkL0IOXp7Fkdqac5D2C4a08YyJ1ip1MT58GKrrvly4effp6PwnhLEHhYvTpyEQZjUGi37M5gZ
SdlvCn3iRTFWQNDHGCyshGlFMgbt6Kq3u85d6WTdGV5pUazCVnZ7Yxb5T/KB0yoHdPmFFmW9s0Il
ov8M9f5GD0qWjORmv9FyzGuwMZ0WtBYTRB29egCT5uErj1jVe46FVfeUiFWFvjABkwG6mnMeq5R0
1AT9j6GOIIGauojXjTa7ay3XsY0NndTuWqbEj9mccBqTNMHn42mB+T42EilPJQ05Qg3Pygj65eBZ
OYIDjDdGPNHIuTVSkT2xq4C1jVbQM9hTennADnx1hrTJmxWGCX14xcpqZUPrpQEbOBtu4Ja3rluF
/VavugwgnMel0rWccEphEFw+k9Zyp8suvxuUTv2RwgNdEz1nQm+NUIK4QG6bwIHyasNtDhZK2HKX
YMdixwjAanlvdFXzpUlNHWNsSxiiVayfYBBROeaJlZ4HYcl9ge3FWiODxSxhaIyOehbvdIg0cOXy
sRFwGbGu7aSrfEh8cApcpCLEouPrLa34hhyabhA+G9pLUg/GM3C0utkEGYRC9gPlIqFidADyhEqH
3wZsJvE2oR6Z+7lS+FuzuRIfvRcAApazqPb9ZHNGze56ihtHTsz3IrdzfZELRgZeWPPVUDIEjBEq
r7ztsP28pNbk3qdm7W0CNDn8KSExY93Lcx9bcXen51C7yAtgWUtZ/Jf7Va7nPxHp+k1nupw91pqU
u9otQO/YcwAwh81jmypOr1V01FavwAmqtRvzpcLDjk856LUrLrxtL6NWcccVqs/v4mjgcq/x2AIZ
02NCSp2scYV60ckZB8TKYKjWg5vWW3ZOtL7u1LBzuspI3jTwOBd96vVTqIeUalFN7MOKovGzl2O5
c+wQ+DvO/I/WtlhwygRAs4lhSeuAClLtmSchtHP1oT2XXCphMN7bJcuF/QDzSrCC/k0UdobJv9Oz
rAjIAmTxuCnDaLAWbqnhVyzVGDy47Ug4F56Ae0pSi3Vk4J7KoZ3vRDWSdQkm03gMqiJ/K7SZRltn
Yc2FckT7xPCSH9t8YAGE1pknFeqcUjaYYXkdWi6cuq6fIwxLzcLw8OpFuig/UlvUDJ5wufR2gP6o
Omi/XShovgDAR3nzMl9fyX6kDDBGQ8eglvG+sWK7a4lvU10cSXSq7TTrsauG+UnOHYEVTop33zSU
cDrd2si3UVKbukGwdyNmjKzA2paxqo5po/+wxiS7pzsCU69N06aflXOOE7Z7YBJu2JzoTE/KCa3b
YrazFZzTntBCTQ8V11vIu86Haho4+4FDfs0AG7IIKhGtRFMFtzIdjY20vWQXsstvG0BSXI6MLv2o
KFAphKJNIeD4NhW5xdtaZ2k9xiJ3lg7RisA5J5b+opjQR3Vbv0JzRSzpy4dAGf2+TKwfkJeJECiE
gDqb26XDB2etSF/F+FH1PMfdlk34sJxMbnrNaNfOBDVq2XJZuDgQp9tAa38GQD5uxih3lxl64Nob
VXVJZ9aYdV57Z4lBLolqMEzow/cAE9gmjvD6khHX3IXsWoA3LbadABDd1kKvfIUlh7dMGqxAM83b
MZhJkcyh7JBzBKk6tgD3kMPxpDE1iveVBYOYZrbVkPGLqr04ytCTNXSLiWxQqC3MtG6NBat/a8Iy
aXV2DRZ2eL3bPbXU8GSEdZOvsM42jpehpchOpjdaKhVbQcxp42aJ+OraMQQFXxaxu7dEfUUGGtZh
ahi5L0o9y/HAhyy+4E+xJg4YOW1QN1fOJ2Zvj2wjTHYMYorNSS2OIJonK18mY4yKyYwnup2a/isd
2GsYzwk9WjUCQ1Vtd6OJhDUBEybEuTGF37CQa2Vm+d3o6DcubGLaKkjskq1OC8s1E25QM9lo7jU5
mcQHGwA/cK789je2ba+xXUJPjZBhATY4rxnx1zomYbYsujHC5iL+Jd9WMyU+VXiKQAIRvi0N+i1Y
DGYiMbYV4quQPv816tZOrVSSd3SCr/8S6tZirxrvLPh1LoxrCTCS2IV8iFV3cXKneeQyR4bI/8a9
HVkt9mRN1c+M5O1LwhJY7CLZAGkyq+/dgHl/GuHfycgXf0Ae9I4FUs2DXuf6shX9hU0dmKmZX/gG
UryPDwuDGRjred8mI+kUw4k9sICtIqmQEJBltSQmwLJ/iRTvOq/09KVsLbb4Xbm4buw2HHvLRry/
w3FLxAg6qInwpYc1bPWNjhtGGa9QyzQPKnGeYjYfvFTfCLlzNya3Exnmpe4G5iGPx5gdfDHTyTjz
G7cb8XynOtFOULkyktFu9GR6j0OIaGwvOritDQbSkG6PiCuVR2iH5oPB8rJl2RjVHRslBm1BZmeY
WH/I/spAwknOC/tjoDVkFtqU5yKN8Qna+bB0WRjpe3ZINHNwcb/9BtBNKkK8XTePtOhUAm/A29xd
51qof33EVCpOxz9QdDVr9HAisyaMGrH2thYa3neUrsF6s+e5LHX8BQO/+4rTlWVJPePhx6zGAHne
So+BA+UYn53iohn/wNWtp7p/lw7LYPysz9iNKPSOpReAHTGYaR4zsslefOfqNiy2fxqjFoz9f4mr
22OUBFoOOkjwVwxKSGmPLuRH1hNNIqOanVNhAR1W3i21qfHco5xQ3dduzwpGKhx0pC5CP8Mdkb6Z
XsarM6kRbmZn0E8eIeBno3THe+B1WFQ1oRV7RxuTt7L3+F1F7t1qKsBjM7PB/SnOBAld11NU1QBC
b4gxUUpWRkXx6pVd8kYqwr3Xq8G6JGzzc9kf2ZpEJXWzXP5f7PJ/bfL/j5h3/z/KBTa0MElH/UuT
+AeI3eKdZOj/+p/Z7xSDf/yH/ykZePoVMQd2zjVNx7AtGyXmr5IBMLvri52O3eBe+u0nf5MN5F/g
tOCY1D0WzNPUI+80f0XW6X+hnXItelFILjB6jP+ObKBfqQW/SlEIXZDXLMp21AMBluX3TS3bawKy
EFO6xUO0veY6F8V1M6g1ixvJZlFCTNjtR/ZjFJjqmMHIASlfWd1TKdSfdPS/wSJ+ORZkEEZ8kjTP
FTSFiHHVtH6RxSSFGu3EXG11mm9oH0S4xzq4LzUbQTI0sxXGXahOjd1ebEy2a5MwwDrvWflnsunr
q5FvQQkdG+fCTp+wXXlRXa+pW7ylnTXxxtQNd4EClK2TdGhuGy/7UEb+Q3aFc+znwSEGO+QbHHoM
+HPg6uAD9rAYkg071crPzGt78P0h8nnq4v6JmMXmibfI57g5u5E3nULhNMtkxiXSGBiyAAnMZFCz
FmhbUS7rIh/f7ZHtGkyh1zUo+T8RFb8JMb+dPdu1QAPqLP2G0vL7s5fgKgA0Oypc1wTQhyL51EMi
uvS/SwL05iFR8dcvV/s/kX6u38e37wvwByZpib2Bi/TbX5RlK4KYhNR2FIqgVZzvLUUu/9//ke+y
y/VzcU0YCLGWwz/6N7G0LSZTSyTburUyODTKNja8t3Sf7n6CBMBLoeFrjRSAYnbyASXgW9mzkSA5
TrjoijjGHduFS/pMh1xkw1ALEEM3QiL598d5JZ18PxkGqhAzegvQoPPtMEei52zTE2prDPJUlwx0
IujHTGyCZWBwWL1rx/sMZ5Hhsbv53/9t+c++CYPS2jJcAyqk++2bGPV5wMuRquuYcMSTy9aEqJba
AyhvfRXP413N/sWVO7Vsipgdx/jivqofuyAeD3NRmRTCmQl2IxreTZ26Km2XY9AMt11cDXjoWYqH
uEhEom5BF7jeeSC2uCxKo9rg0arfOC3YwhQwDTaiP4cN062J5U9OP4VrXZbmg5301jN2VWf57z/3
H/bOX68N4D0Okiu755BRf3/Nd/OMpzku2e/FMo0xLp6jOH91UpFfPR0fFVlvH7tvRpq0vmtIsKxE
W38ZkXZEscDSgnfMryXRRUefxZmC3PyTAzSuj89vVwVXBIIxlgIp0YB/f4AWRHmlXzOIEjo0t4d+
a7BVzp+z8j5wUrLgIzBJj9KQEqzf92Vx6b2rHBPBXNHNRvpiVA/YsEK/qxnxBE1O6n9usMQiMt62
4zVObrrjj1iNf/I0dv7JBW0yPeDmlp5tIFD//tBzXMmN6QUwGwxvB84r9KM+/AzwkPqzYDlLfT1i
KYbbPOwMBAnGfm3ooKZ0s03ja4SshuzJ8VWu3S+x1dpLjpaRoM2Wocb2PrTKcIEvonzJoQpfZeYc
cZS3/sAWXF8Vdb+TjVeckJMftaK+7obOH6LZJtyr24751EqR3cdxDYuFLafyboTyQlcLpLyKixcx
2A5BJMXWEQy8tu9hs7YFmlg56oNf2t10zLP5mvRlXYNixO83MxWqTtmMObViyJ1CmXEIR2J86qtH
uzbrtWjT2yBMo5vSSVlvZKifIPWJc9n2ezahxUBzU+sCO1R6W4Vw19PWva5xZ3scExruNjx/vAWq
XdizqvN/c3cmy3Ej25b9IlwD4HAHMI2+IYM9RWoCIykJfd/j62uB+V6VGMki7ZnVqCZpN29mKiIA
b8/Ze20IQvirK2e6LgQR3ArhECdb2dxS9GG/lUL7ny9QFm9SChMcmgVi7uP7RBTSJXhkix1llVPb
XWQSRyVrO6n1SX4h4vFo5t0PbbZx/89nqQWDzbQVpXMHIOPHT/bSbggI2Sp2xPW82lG5cSrx1mhJ
vOJBzAnrSJ+6IPwRTaKE4J/7O1loMIcc8uMd9IOiaM1l38XjE7EOgb9IOJR8/RXNM1jcvMlAVzQA
Ac8IrX9tMm5sYGUVKbiiDK1RARf1oiyJH5F+GRxsIkZvahKYF5HJbZPcxc1YcRKRYYX/wlEHhEst
bfjK5yo03UR1/uhzuds0tHjxUhIMVUXPqIHan19/a3nWA3n/1pL2kWk6NhQz82z5K4LepssblQga
SGiG6O1Q3aMkWBGju0FFElxkuaO9+W6GBlhVqEGicLokzSomCDYj3aonMG4jzRKfEYVX9E/6TYjR
aij8PaKb/G7yrX3VUkJz0cuWVDnlBHc99VD4yUH0WM68rUoHYxllJMAFvnZr+vaVO/U/LOq7yzT1
sEXRgnbG/oXU+fX74iciCYwxclsc5ESiYDJAY+fhAvZdYiAC3be2nYvIfwlxcZ80eAPCyLosgQeu
WKv2rk5/vpmiZ1paj6gZrxRpK/dfP1nr7Fj8/mSpAHG61iF9IbD5OGRBiox0ReguOTCHSvRPXjTe
G0PsnyQHj5WXGEiLdGvd9CZ1aYJMcZeifXPS4nZoyfTzqGBwqdVXVhAj/rIwT1HhRPvAwp+Z8Bqa
InuGiE67XBsprs6fosE6sjI/IZKEP0kKKuqaf1HJ3rwYQ/WY137++P6csV+Yq96sHgw1ql9jAVnA
D4FXRLhfJhtXBvnm4dYj9mFb1UX9TcPP/GTUSd3k5sJSwrw5P+nohdvVoG/zXajqmxJ2mFFkZMb1
ZbPqLeuJ6YW1j8Og5VPh6oJBrpJOD9cm+QSrQWtqxPGecSlCEGVlsSk9n/5OcKJXiVwBCwRlTFGs
jTl4MstpvdtO3LOpFFfRoLe/vn7Pnx0gKLyABCdpwJzB4R/fM46UzukLh6VJM16prje3QNGMg4Wy
hZhm7d0X8lYHPUkHEZn2QVn9ZB51DUlmzIamiSk9RJjXe9bbfTjC+3ebkASDr7/mO8Hx7BhBK1/n
pXP3Y7s/G47WqFPUDNyCxHiCmXHwzDnfJkUhzUupZqECzSj1hLRCb1Uo7nJ2MFyAhODWTgg6YcDT
E2nuQ1OED03v2ytZxRluL8RDwMXMLZ0bkibjFpUVl9hFKVKOd75vzpq9W5zMyAdglVoYqHIdvIHq
LH//9S80ziiq3Fs4utpsT3RYWcjOTxuF1KlNOmi+db/eN4x97FtHx7fvtdL+PcTpFqbujyixTpps
vzk9n2OE3z+bkw6bMHhd0hjOllHwrXZNDynZAeHYB5w+Ir1kCLA+ykG+UnZ+ju3iLtazQ8RqvkiJ
s6sy8d0WNL/Dv9/x/ARcwTHWdm2uwNzrP9x+C/rFoWYzrcY5rNrM5jqzbi7CaRwo6iegyk39slTA
IkoErhtfFJz6SJSNpLMym/eCtPCPjd4QZj0kah/iUN9Mimi+vOAneeYJtTH0KLPEtDEYqyQ2Dl+/
RPN81eQncPtBeMgJg878+UvkWjBSNqvynRZhnWmgAP3oWegXmkzGQ48K+tKusaol+DZW4Gb0h6bK
p5d0hKmDXQgneWH9qP0A3N1Ec0JCrEBGVUocQvUreTIkNJKntiQHpjuRsljvIovX8c1vOF/d5t8g
OAYw0q15xp29hlYZXl3lCCkAUiFqx1v3qqnppoCP2Kche+OUH8qhV5u+AdXjo0Oiw43JLTAzDHOS
U2ebw5F3u2UWTMOCbpa7w+5EO8vgFxJZ9FZ4rO8e+R8gm4zXqBPrcYqHlZ59dy08L+7MA9tlTHNC
QPvCq5kn3V8FlVTHbY3CKtthjVuTwtNcmK0nr2oNR1jhZCjsPdozFH/srqGKnkJ/IU4TfW0S0i10
y28m+Tsh9myIuxY1ilkuAkD2fSL+9X2ocJGGbpTZDvri1u5Ln8Q+O9jXLY9nMJJflsp2pJHQ1G7p
7ckMyWeFG2ZPAuVdUIi1mzcPeYqIsw6SfS8v+mnakPB4HSA3WXC/JK80HbVNkCKwrZyIrTHefj08
3k/J5z/BpZnIbRMBEAPk4yOtzHryaY8mO1I+AaNMDamUJhpEt/PgslAO3tJeJkRuZqF45Z+OsGtt
FrmRg2KtBlfdcOMQT6FR7cPIUY/tQCqmNNuMRmLaHwiYn2PARQj+J6qvVNweldZixNG6zSCTrXC0
65I1gP0wWJE5vgzJoXZkEX2zJP6jD/v4O6l+cnFl/LguZcazoZMTe0paURDvCiQKCAXUoxGDPCK/
x9yaQ5PcRVOKETArI8B/mt/BGkIhqEbrleBtsNskQp9EWDYEvUAJMA1EsrkH+QsrE/ndufM0mjjV
fC2ssE7QyuiqiAD4xH+LJuU+G3oa39mpb12rCF4YhtRiNyg/Wo8ZmK0UtP4O9PuIczQxQDjEawzN
J7yCHM5j8LOGSm7SashPWhXUF5NZH5uhzrCCdEBGO6NaQ/QwD2bbadd+VrwECCs2GHtj7kOFjJEJ
VM6z3VZrKQoXGe1ADmUzGjgHq20b9fg4vFczMVlCcVYvyx5SH0r7mE6xY28y0aC/UQ5GnrbwVjl9
yH2DejMspFo3puM95vhoL5VL000V9T4YzGSTmMC+g2YCu5hT1mp1q9yGjYQZF4XioTKyJxHpKFbr
qjyltg6pFGOQ6oP7uHTw2zUkeZcj3iL2BYAz8JTqpF+ZFZnKGH/6nI4rbXoRH7PWci9Y/IHZBP4g
QHNGxrpQnLxs2g8Llt6B02xKUKbUhPhphcOzFUVvfRDeEoI3gteLZL6qZSmQJ+UQJsQP1NpENTQC
LOeorPu6a+WlTolpYWg4rPJRZD8zjv7LzIeFqc+nOt0z58x4JNKRwW2+oS20sdH50wNtcEo6MDGr
xtoaGlLkqUWgSrLeU1WK+KYe9Lt8zK+rJt5zw97Eo3CWBQ50LGfxC9ojubW7adrCEGGo9MQKB+WM
DQltZ9WR0UWRqu32fZtHy74mYMgsoz8prZNbu0VKreFqg+9Cc3zU7W6D0ai7rGhFbmNXsw9d5ZyS
zL0nMePJCHQDr4FLdSklYpHjYXihN5hJRuHj9yB7c2EPfD+v0sifEnZDTph1Y7rafEjnful51S1F
8I0ZM4WRE+NuSqYNVEp3m/jzKibtepGX7Z9RA+jqNQnmAcCnJ29SGfnuzZMFVZyclJEqTMY06HMn
ueClDouRLNNLJTlDDS0d58IXjzW5a0gmYDAd+vlR+WBQlgmVyp8JRo9NOIsuqjEtWfrxTuWVbl6W
Pt48cxJMj3edRmBn7dqSuc2ijYKjySroxL3p/gwZFPy22Dq1s95D5V2ISH+Avcjvv6mB3SwCMCU7
eqqQpEBFo9d2s50ZyeSnnpAOWPlWu6+59dyUddGuey2YbuxZaeJpQYxJCSyQW/y0G4ECSf+ThozM
qg1JBJxTNdzyuTXKds1XjrYRMd3Pie0fJroFgZ3fUDJmVYrxLjfTJeySB4z46nJ0EqZs6R09P9FA
aOAVsWJ/vJsssPSGQdXJNz1rHwlWLUp3agXHGN2LskuUyeFrkuInN0v4lS5iCZW49410aNXjXV75
fh4u4lS4/LEFPL2wwhNaYNqsO634U9SQnGI3rp+KtIAdFXecXWQ+4hNCbUNRKwIxk6AOWDmZFwL5
KaZVNTqXYWMcm0YePW3Y9CnaE0+6d4o3rwD9viGFtg4BJcxl4rfJnpiIfFM6bXUaDeCfRGOFJxsn
COGm5KDqmXlhlYa9i8e2vkblJt5iM9lXUst4WgJMXM8FRnEBWvaouxZTxDgyc+US5loG0Z8ILRaS
/sR7tfVavBB6WgFyTlHmJZq5s3I5XdVpywWldCf76Dv8W7Qmg8eW7XrJbBa/4hAwl8zKFBizmVdv
ykrje6OMhqOaIA7LOEo2thaw/FRzMkuj2xsz9E+k3v5MTAtCSinaW/J+0bZKO7nPwljtKtyPdVc7
TxppMrgfMToOUT3tg3agh5VkY4HV1bJvu05pl77TiVVpJNkl/bjghDPVIOsSR0zBlWYM/em2B3Cy
yYjcfoypfqz0fiwfYpkE+7YytTf86t3vYkQLk4i4OtVWSWiNniTVAFgroSHcBwYebiHvhGqvQyUQ
4TSOvfcyB92BLemz0/lRy5iIymQxOEELINf1rYvUGMefYGgQajii3AiMSQdaZPo2zwnNHKzxkEoF
GNUts199lEDXY9uBValHlM66/tKMgCRRGa4vwwxeNTG8CPqnTLzGnNTniLcnUtH8yzFqo1NG+PUa
aUxzNOvhoPraXgeSLZymfPLgeEikjJBp3kmMmKNRE9I62VdZZ+1Kw2v2STLOBL9o9j6a3oYOWb3m
UObRaYOlbAI7yZV/ZxqZuhk9SryhNww7rdQZ2EgPL1n9tw30xKMLShbmig+8ZOnYU7eHFjL9YEy5
S6w3vBYvsXcG+bCPZilRNTRtumfIzTWo7mI+LKNSgrsi2el8cpHXIim9BxsjyDVRfyx4Q19UC1JG
UJ6OQb8bAXDi+dRjMDCATZAgrQZlIbwzBTyULBY73y2yzdgN1hZiQnFMM5BF2AjRVaEHZm+EEFGl
0MI900o3IpECUSiaxcup94pvLoPWfMs4P34JoNg6V0LL5Mz88ZjZwDUwUs+h+crd96JrXXxBOPpl
02GbalNrl5spAiA3J+Gmn2nWpQtKTaoI6RdoQHLvGF5erFs/CF3l7uEHt4Tbyz2nzObJs9t+Ezl2
n62DPhx/5F5jrbxprN6aYpJ/vKhV9wrKer5QxC/fmnXWDozVNn+qXaiSbaTAsFSivB4jT+2KOAFe
UcxmkDDJT2kTrAMX4JtlqAEG9vQ7zCXs+hihxNdn8Vnhff6MaI4ryjaSLrp5fkRti2oqpybdmaYc
F4L/dNXncb4uYNR981HGeTNEche0ubLQluYGQzvk4/uY2g76Vjpgk9fqdJGNVbC3yvKl6eNgCWRz
xJ/o97duogD6k4XqdhbIqxJBdYXFdaml/c6Pmz0lBez7YrrTbW1cxURIgtmF3/f1c+Fu98mTcaha
mobkpKnOK3SqSmtHdMQyct4bVkbTFHu7bCL4GTBdwVQ8SbB0B89OkFYqjqZw/tbCoDCvp462tpB8
rpRerg1IuZAtoJ5RGxLBUsiqbhdBNnsVfaPdSPw5V00n3D3sQu0yd4rfpWSqxIXX8w9D7cpn373Q
kCRCM9PHP3Axo2Mnh3WDbXRbsxxCgAEG/IMtgUuCGEZKvzgv0RwXvvdiTsg8WysNGVhg+mzKhke9
fS7C3DkkOh3cwU1/6VOjMU0Di746qxNrUnRRGdERAzYIUb1+ohh+NDMFHkPXncvOqsv7iVPWyGQK
OZREZrJuZYdwmUCaFcCpFi/uzGhwpijErecRKiyn7Nofw4NHL4/lw0bHa4wGPMYk2vZ9ccipnq+1
3oM/XFPuHO34NUyT8i3186sgDAykkcZbng1HX9l4xkoABgTOGAaBr0L2NTYj0PoRbGOgNNAZ67y+
KEb9SsfIfsly+wv4pLixnAYiDeG/SB6CYZtNhYkUwfbehDLCrWiG8TIsiu4yki6CaQkJoNLg1CQU
po9V6k13mqy749TM7W8tFzgTBP1QMeBYHWmQG630L3pteEmRp9NUd/eojqpFmiYsP9ynhwqcXm2K
374g0cFMHkqbiNAE4ji5zwiK89YHpVX38gYhWblIAx8+VQ3Fom6HZGnkWbVEmObCxrRxL06tthC2
T/6zAHlQRcbvKEzS31OhiqNlBtMF+/a05EIzEcTQy2XAUF+5rFOQ6B30r266qGIIo4PsuQQLWgNf
z6H3mt/54kJWHGVhPD0WeXEfJzxRZlmACQ8Kq2HFt04vrSdvyjHMY4IBFB1acQw0LFiX2ZBuFR7K
SKA26DhBp6wJuzhDdRdM5inW8Jn7dGmIpOihGFcNkYMxclOvmSDKthnW4/gnzc+5XYo4fqgq5JO+
W24MF+RAVQ4nt+2KRS4HBzGBXy1GpRZm58ilW5UIBsco58+OC/vGxrPNKSVxTqyLYkmO03TKkiba
VlhXwPv1jKVCbCcTloFPcX5Xem28jkT1TwQqci//d379z0P62xH0SS0XHTNlfjppjkG15yx5iY6F
ot/bJLvC4PpS5D0mUuEUJ09zyfPoQZIHQ1TAL2meCq+6nCsHX78947ydNy/XOPhQYWBNmtUpH99e
1vh1Z2vUUfPJXAH+/pG3uJLD/F6F8Pyn4EkT96oxVjL8Q9Pkm0//ZK8wdCHfNwy+w3uv8a8qF1ac
2jQzM9lRDowXsVHAxeDr4u23ul2tkflSq3yl0gzeFUSNb2RA/9LL8Nv5eHKvaPYKotzOtirNiblR
u3w8OMVwHaT6Y407dGkUJqLR4j6b3tKGFQLZ0ga2H+R46FbO0lOes3iXQ9nY4unW/25nRmFjie+2
0k82JwNuiS4NqvwI485mFioQXS84eO+q4Vi2DeUQBdxmzqZpO0LlkXaj6X2zSzZHo1DZPelC+aK1
7Ne2BWHi2K+O+C6j6Vw69f7IyM8kSJGGFl3qj8MFlVk/pE7GcBHJk+95j90c1elGNad3oT8MXMO/
WV/+1Xg6/8izOZLj3EAcUSc7Z9TurbEriJAYfk+D/4vgeB1hQHaNRecec4dHJQLOY+UYN0Os35lU
uiIzaq6LHkp/aTfRHutKuf56Bv2r4zR/P4MyPrOIm59xrrqqyrK0O9tJdn1VdIvQq6y7sWlvA8ZV
Dpd9P/qAQOMhue7pMxPSHN1MTpY+W75hMOOVdhMTC8l+QeI42ePxIsFJgxpL97f65E1LQATOcqoJ
/sm7Ru6rKqpv28x1uGLgtbEalFO52xMG7RFeIhSGdhWp74QJnxRz+ZEs8PMqb3KKPOv+QVgNkszI
0l2VBhdCwcd3MkXRLSmoP8jriC4ml2AY35HnlKs85yg3UEda5qHn829Bqw41+dt14uQ2xphxyIR1
m9UzxcRDzW8lQHQkhgW8ELaFW55rN32CBuxAE0Yb0PU7/EwAuWA+tPsYrk3VWtNj3aanGVH29Qs1
/t1empWVNAEcVGJoS8+mHfcFHfVnRKeTXJAVCzPVqry14PBrzdUs8eysaXgV8EnZVDP7QKgdrdjW
lVsD8ZTsbLJrOb7df/21Ppt5dNkdR3DPMfTzMjPGHt8IDbvYdZb7OLXOE1FXw4NXFhQ0zKBYWvGg
vpt68y8929rBWukCd7SOy/N8AQq4G0WJ0uHCy4hmWmlmi1IW05bbi7YZR2+4eBcdBE1GqzWuiXDw
XH8nPDiqk/P9i/lsPaTlSUvd5kmo82tMBz4gqoRCImaQGmU5wGP94ZeMUBB2RasDlLc31CTiRyOZ
MKAENMf7qHyummw3Of2wJsUCBn9SBt+MmM9ejY26jreC1Jbov4+LolcL3EO9pOesKLIgaFxr8eRt
3BwtaUNw4sai7vTdu5lX2vN3Q5CbRfOQtDxkNh8/lDu8EY8Z1f5Ci4AtGsI9WI5/Y0xNtWWgcspO
tEtK9TcmFDa1fP8eX4/I+RP+9Q3oAFpcugkDOB8dwzAFld46OZhTyhPTSGqjz7X2vackPEFdtoVr
lRnm5uvP/eRxm5w0UXEqAwHvuRJhQIIUc02HIqHhtrO8rr/K6drhBIYknKr2KuyMbz7ys4OaCdt6
7nzjUOHTPz5t30vTOK8QXHMkZdXtuetHdUQtDN4X0p0N3atmhcPAWpYV9wnsTN+8709/NIpRvsWs
4XTONt5hKEDY+wWIsRHgSjk+A8AQS9WGz52Kb1CEZNuvn/Inb9ekQy1QGaK+IZPx4y/W2AdyYfXF
Lk6oQ3nkc+zqxkGdW84hNYV6a6eovfheTfnJJMeeKGc9v4PA4bwzblbg4jyfzieX/mlpwDndI0u2
mOFD9c3x898NbCHo3M1VEaADPNWPPxEbtEEPLaGTqifTsnQkWRFktvlScifo6Wp9/UStT94hHyhm
AYVF/ex8EEHpCYyuzADHu2Imp1XG3hgydS/aKb21xjg6eZ3tbuMwggLXvGk2KkxLlRo22fhnSTRt
NJ5SQ02bAFHRLgM4VjVOf6NgTK6THHqn23Lj6Sanuy8sUMQxOOqlbIZpE06Ov5ByUBulwM6iECQ1
j7pFJ7K3IQiyuyyajr0cXgayT8Ba1lzoq5qbv0ELbKMXsueACyBVNWDX9Rx3Qw4qLw/7/K2WOZBM
N83u6C173/TBZxfJ+RojGQx0wXQqNP+6IfS9pWv9ECN20QUBYWV0VSt/FTHBrfmBzKV+PMinfsqf
i8LZm8RQeLNuQk+hRwX+xqaG889q//+G5/H/tdNnrpKh2P9r1P/L6LMMXpom96uX9IPV53//l//l
9DH/Q6gjLXrTxr+ii7lm8I/Tx9X/I2cH0IzIsAwiwvkn/+30sf4jsPOQHg6ohTqyy0Xgv50++n8w
VaBJna0573/i/8jpc34n5qxjO7ZtkRfPHuOen+iNyGDo08TfGWDvDtzDGxD00M1l3FeHWInrKuy7
58BwYKlygd97WpFFS6Pvvzt2v9dO/t5i51MXAkLWQgv1IKklH1eojsC8WBNutUvD7vcA3O7asLLi
Ksum8B6Um0W7OtuaWQzMsLLXYYuWf5EX7UXc9fKbDej9V3/8LrhLkD8InvR7hPfH7/J/PCyRCshL
8yx1LIM423RdAFBMum9hzxUC1dSYo0/ywvxY2sqn+vYyWZ25jmVuHbWJ08DYD5SFunG8+2ukXf/z
VT5UU+ZN+OwbUkOZT+0KIxn/6+M3HMo6NrqpqXf1hN5/4eqARcloqrdmKMSBbiiGmEHUyyKeIFwk
oY3x0Oi2NukdjzAm1TOuF+t3rHGb++7h/VvvxaaG50WhlCW86vzeDBehLFxKdrsY9MMyk1D1XRXm
t6BymwcJT/eumkbvp28KvMN2WLwQS0EaDEv5Q6yzgOsIRr7Zjj7Z4PHNcTmZSwyOc74bdcPkTLbG
qVVvNefC0NvkSqf+vdGDrFpEgB6aReOiYTZCgCnfvKnzGcadmcOFwTkdO5StnzcJsmTWJjUcLqAE
LXu7SX5pgW2tbL2k/s2dAgoCju4qaRTQT5QlLVWGdVFWwc3XX+STApRp6Y7CkyVYkc5fS99VRCCY
LWCCcLoZc3sEntZJeexMN113zdz37JExLCp3zPbe6O2+/vhPXgG3GbRR81NAScdi97fqDIFGZHYg
S3dVMxknmc3oUIXo0I0gVoL7w/qQaZsobP7Lrfp/LzzOf/LfU4UXgFUS+SRryly4nafSX5W3WAOg
Z5TlzAQyihdBhrJbhLxwnHlXeTb6i3GOxnCHHhRIG3EqQrLTXbd5J4+Djn7h6+cgPhkP1OBQ80Ah
cJQ4fxCyHkissFB05k0anLQ4F0eE9MQQchjMLjQEhousA3TTuOJgsLZtNPS8WNubGoipH2VvfeO4
W0QiHvojghFNa7JI9urmTGh7oudWkadFXy29yey0QPAPKigJoImsHRaqtddPQ7KWCNZLZC09pANk
I8NwUcoOnIk2k2ucunn4+kd/crSxmAOcsRkAnG/OXoFet1Jv4NPuAh9dBab2nmAwy8ivROgOt19/
1ifnKLp+XJ0Nk9IF2dZnHyYCgja6Tqt2QVnCL1QIy/Z5WwGqAQIkSXkAuuNfjU4Wlws9neybsNeH
6yQdaww3bi1OI/64aokHiBSi2rUSwrIizlhff833m/LHYWm5lNA4H+POM3DDfRyWgqQRqlw4GKcM
lmNnNC7RgZH2KswBTYdBngz9Gvyn/uAapzlQfZ9hAtuCXEAs2jh/IIReSyzzlzHCxu1gqXSnCjor
qQN9DxRvnt6l6eQ9Ry1QBS9usm3r0jPxE8P+ZnWdH+jHX2LjL4UuhppUod8424tGr8qbcOCS6tXJ
dInzQF8BSrF+ff3AOPd8+ByHDis8FB0rIzA1m5rVPMr+msg6XE3Ppt+ym3SwMeUA/akRuOIXMJHg
Fqlg/qvXVvvJnwgxNegxLMIBaxbmJmc4xT1QoXRE/EJnh3Hv5sKA+Tr6M3E8ME56l4DQcduBEL+c
pITWTR65aANUoMzZSG2D/mnrB9WfWhpEWxALuUQ8p2fJMuFzBaBfqgIhcnwuyGsryK6KPD9U02NW
ausaAsMUkSuOmE/HG5sRJFCGxZEi5LQvqISabvSqaeaT7j+1TUH7zezVLu4lCFHTf7OD4NEhhpyG
99LN/MtKtDdNCD2VTMymgeDhJ3tQbr9rT1vrKTqYOtpnpHtLu3t2ECF1EMVpQCxC8mxCvnfs0drt
A3055MabDvxhbSF5op2arTIsPMvakj9bI8c1N6Ft070VHeWFmpztlAygUYL6hADJ34FRPsJDumvD
KeMqWSx79vmllO4Tq9gqit197lm/MAc+69EzYpxF5zi/SpkecBEcR0hNYGiftZCGeFQBDNP0+3Ya
j2TW5Vup+m1J5laty6dO/WKNm6kd8kqvSX9BglHnxL+aUJxVYR5Uof922j+TKQ4tFzlnJC8r8LdJ
JanNyT3yxLXKyN12yVxCHPhYALAkErXeTn2FMC+HfZ7HB6M0bkmd3Y2AOg+t6DdaYKHioTekI0bx
Y/Lg6rG7AjD2ZxCRTTk33qdojaNR+9lO9bZDfrm1oZLQyXko4hpLKQKgyC6X7ZwNNBNhhYrWQ1o/
T8S4JKDrIWknLPyVtulCEBbueAg87dXztK1VnGryZPwUgZkLh4Wsokjbx3YLAUuCpr6z6D4Ax8Ap
1BJwOgAM1Z8JcGP9T7MfkxGYUJ3bA8EkS9ckrbuttlMuFzEK82U/wD6LZ0N/Sm4vGjdQJmpuJja3
tDwvuyI4ZkW9ahLUl8pM5wxC8nfTnlAQlsF6CB6iqbwLWx7IZJTbCe85EK/fPfwuzMA3Uy32lenf
mlZ5G0ZcmMPu0a2Rzrv1q5hjr5h9+aJ26r2XGwscyr888VJZ4W7w7DsWS9hEJMwkgXNsx/YiaLud
rzwi8irW5DqpCMskEo0Ooav39yjsCBSQ96B4KIxmkizdYoEcai0DZ9/4+7A2u3XaErWVTXvm5iGz
+P/75mdGRWvi4RRlfISEuGid0EVXW/YrK9eYsCVdat5RHoh0CVSHCU9nzq5wLuN0RTiAhihaZxZs
oDC55bdUWLlA25aITFJfrGtVNGj4cuQ2Dtjogkxi/HXEbSt1l9hhugSMfEqr4rXT++TRqcmrNwXC
+3Hv1oQ50OznMV4azMqlyPxhFzVkwHedTdYY+sDIuKQRnhJZQC8EnNEy9yHnEDA63fW6tpBBiQ/X
3xEq3pZltyCkIEcl7C+QA5COEdxE1vSnDH7oWnKgD38zNs0Gwd5TxMrggQz3xvytr+L4h2HjbjJF
gBRjso09A9Yrtk5OanGVXEWo4YjYrAEai1R6a8Jv6/s4GMXeaaLihXwo8yryA77mWNO3W6I7a5jT
fZO/yiCJtFWOqWAlRyPYOPwpK9DB/rUuTH9tWA0c2hbI7mTlhIyVw84zjRrOAkqzpaflyR3SD+2X
zylz7RAyel86Zn07dqDjpjj7oxs5aeSjTV1Y058L/wFmPXGX6CZMLmvt9KIPlbaXkW4tmji3T4mp
Teucbtu9nKpfrmeHl0i89V1d68h6LFNYD0w6uPciCdSeMmhYzqczB0t8L34mxuSg5IuSKz8oE7xY
4G0ALXjafZmPIYr20pQzMV/tnJZELqnoZ0izLtZIdlnUMJCODRHfvbz28ZvjFENAkSV1cix6K8Mc
iey8WBZNITdNUZNDqdF7WkWIILCL4NC4zJPAhefYet2LixyaZkAnA3LG+p/kT8lXUpChEeMEGp+r
wYI4HJVaSzpPHW9bTyCccypcokZizZmtXgIhQU+6Zy7H6RvVJgg/4AIvEu4kM/i7JTCkbS7Be9Lq
is24wIrbBy+p5d3hZH100wSBaGZNrrWhwExeX6QZw1Xdp4TjDIkLZgCNBzoUQveQtdJa2QS6Xi+H
MQQBPJnW0sn1/Fors/qCFnT1A4k/Kc2VFx6cxsv3moDqkaWWczkX4agIkJz4HJVWvZ9qNyYymzCA
oO+e7ELFCwWw8oDm8ldUdXIDi0zsWkX0gE671BryF7tBJJaBz7nD/1zdy8gWXKZxHqNBRUSXV2l3
StHcxwQXimBdG6pDPFOar07q1zeB4PQIqT0+1IBA9n6pogdDMzRMBGZ1oRMbADLpfvIIWmvDvjnA
NUH1oLQ+geKFA1IBZ1jntBrWYe1NwTKPB9LK4f+GwaZqo3HjGaVC0BxRzERkiDfUb7p2NviRIMfe
NWc3O1jcIXy7JFyVbBnA2Z1XYsxiCA0WWHGcRst48EhCyyBjFJOTrmI0TmRizvhoO+gug4DQAHr+
OC18akP7aTJmL1ipO0f0h9oyC60W7ax0fnZ9lD5YmYPqs2ihmTPcjX1aRYU2QzaSu8qtadpGnEro
4/6ohrHYDkNo4EULsj+eL/0HTVf5ayDC2eWqQq7abutvvMKKrobJKy4oXnIcAY9JpcJUNqcIVfL3
NrR32ZMp7IR9cbJdQ38tKuDPGUaFAwnH+m1tJT5nFc1cd0mf7ceCsBGrU/bCrUCRLnssWrfCaAdk
WsFM10JDQ7m7OrnliFnbNELYiXbHWiOMOGVp111tLWoL1rQaZHvym7q8xJjkXEfKC14MWQzpxufU
FGh5/bNi+BIY6kcvTBP3h50X9Z5VpgaZGDe2XKdl6ayglamT1xK3MaYp2H3fr9Ua2Ld9mnBZYRQY
Q++HDS7wmDtm2qLg8Uyaipoud5kvjVutScw7EHeQArWu/g2mhp6/OffLyzRMj7YCfL3Q0ia+aPHU
H0s/B9/ol1InRN3x/xd1Z7YbOZJl2y9igvMANO4DSR81SyEpFC+EYqJxJo0zv/4uRnZlSh4qCVkX
96HQhe4uZEbQnW40Hjtn77UvGuJz0fMoy0VeqRbxJ5h/r0YC+c5N4qAOYxpBVvX08tGYVPWs7ef6
XNdtwh9Q3NV3BKNk7lmHFxIVb+odO/IBoHWbknzASG2PhdKNZzhRz2JrBEclMzlfubzIj+AS8YTD
tgtaq9VvuowNMRFteZNifAImOU/G56FFAVWOng0Ba5JZYNJXZEesRqCNk/Bu+6GvDnGpAyaonXbL
Y5hcNpYHdMhCgLC1nMVbQuQpw7xHzauwCtdiKRvs5NFJIrb3WVe7PQwK4+jWbnUQeeFkwdAK09xP
pof2FDWDthVpAphLImQkpW5tJz56NKK2ENTLjdcz/GnlYdbin6mbkQ3BKAXwY4y4lpmfoHBwHXYw
ur8BdFTvOke/+wAKNfqiOv3qt4aFqRTFDD2eEBFYhwhDL9Ej9s8eMeql1VZbN1K7M2uu9X3Xy2dp
FPHnGc/ntipwRUuz3HEuwt6SteVRGdvhYsingddyPp7VSuR8konebAgEj76kjQscNlvm7p5j6/rh
es+8SEREuWL1cMImT/EeepECv0/1WuPI5DLTd7Uq9EiCDQapVpd2syRHaeck4pa0yEZ7Ko81tPed
kVXapZY38QYEg/kTLZsehWMxO+ALtSKziP0b4SAXJMM7l3U8oVCsEytI3Ni9zqXZoCiuB41gvUgP
G8xP3pmeFJw8siIPHRA+CISdFHgHmbmGYLcvMdZcoTUgEqXvyXfEao1yqtR1bxNpbiqCAhbjpvbk
QuKbNuKVb1XCoeRAdlCMLlVMHbke9Xx0U4KitIafIE4nWiet4VEIAzwN3MFKO5KS9H6v89TceTpZ
MpsRGffzNALEbThaL36TLbzn6sED37savFGTu1duRHNFTfE/lLpxIPRaf4xsF8c7uXswowAr+rWm
R3exnlnPYGMVlLG/yMsjOrDHBpbVjTbAbG0RPQKQBVlM5kDEGEdQO+IUqkooRmYhjSuHAxRqvU47
RtFUbBCGT5uly8lbWCL3oi3t8rKKx5YqdPxqUJmPoUNM+EU2Nw6nM6ze82o+czQabW48mRdAsAis
snhP1nVMV0SfRb0G4pIzCNyi/4ash7FdVHRf6S1f2ISU2n5Uxu21USUlB6NkOKuxKI0Ylqb5p2RE
wjFttqWFpq6hpJtigA6BNgjz0ENUPQ46pKmLaYaK4HuCphd9jp5OsFTmZ10fvD9div9oZvWpKvjP
/7xCyP2f/3k1sPqvwtT/Lz6Oxsu/59Tfzbn40b0aRf39x/6aRWHd1Bly08iFOm/yF/41i/IQGCB8
YvSCGnudzvxrFmX9QTvtFwoBfBgOmr9HUSY8OjSdNK75NygJzX8yijLM0y4hQh+mn5DvmImjAzwV
qLcNs+F0JmtjWmZg1HTd7gehzmeJlfLmHhBJOxBjtmKMlUC6c/RYRNiW7Lpx7km+7B8Z9+JDqDkr
x6VtIeLh+2zSbiR+ordJT8mK1A1ERBZlAw9+S44cCUdZhxZeNUiiTDlaOaOD1V7TgdAq0T6yl28L
llYUP7XbX1E1ciCu3OQmm73FX2TUhk08G1dtax/HsTeCajIzJN8OcNHCnG6safEulZlkanvqSXEs
Jx1HxWgRbJHQFyAIFXmYrrHR0M4YNuRzRk+k1hOVzQ5L8lOZjBsw46Cik6F4UFWgDLwW7ycVUtDE
H96XXsFfELfTXWy3D/RHZl+mprvLoyW9dXJp4PxPIxHMXX0xMDrbiTL9VCGmIZFESfZmqg1HWzHl
VZlo9Ra303iIWqTvmsKERLcUBTDTVG9iVa/xz+hY7Ap4koe0qZoLSefnPCsic0ussnNwQA+QTD+M
xcbCQ3BnjQyttxhIvfMJZ995r6o/K8bun6zaWwm2GucAnM9agMdz5eLFU4x2yB2xDjU2/Vo4FUmR
fPaw+m9jb0y3iyOfbeLd7ky+cJi4WuN3JSQazSXAPY4JDaLXquGbWnp+eatC72wZG4ccSUfNj2oV
J4Gsl/xQJLCj8U9T6JsjxsmivkwS7owkKXcm0miHwwfeoT2lRF4a+jOv7WgzCkVe1swnn91FG65J
rpp9duQOKZg9XsHu04J5tvkrgdyM1dAcETZcS3eMtlnSpF8Y4PWf7bGYLqqSV6CQCdRksp4XITZa
PJdbgrmyrWcQzOPMXyQG2E1aNhWXcNEED6hfHUXvN4Q5d+e2iTB3ygdlqxU2IJ6FiPpFDlCHJwSb
X6Ke9W3rWnalU2ittoJ9w5TpEHdrjqVn16Eu7PZLPOWAl92WqO9NZwzeRmvn8SZLFShjqyDCtgrC
/GLSwpWnrrWs56abf0RjddXJqL7txsgIZmz7T4jXpp2BTXsniK4PcErLHcagyje8dMCZ1UdI9izS
gDDwfcdySgelWMWEHs9jjWVt00RldEwzuPsLzlC/7lvYu61Mz9vFbq6FPjGgIai9DjTaHrfYQNKN
XU992PNZI7orEdPpYYStlZjdYfWG8Hfj3IuwL3xPoOutQevzwyKNdquPYzrgqychWiGB8qw2ZfKp
LEqNwyL44529dmYR3LohCyM/Tye8mbokB6esKYIA8EiygW3+bTzy0WbhuB6K2XLOBf23xkfXzLh1
jrptoTnVRdQMWhZSMZbfFZP+jM9RqDsqi2OhJenET6vQUfSapbGZDAhzTTM74Yw/J8A7SJhf38Tu
Nm+n9qy3chK54ySnmalWxHWIhfzLxtniX4aSwETvaKNX4fyiLwRFNwTsKbZxRHJbhHK0i1vNiD/T
Grmjo2PvQClfqrWZ3UxGgXyWWEmcxEO8RWtYhDYWXvpU8MeVhMBqO3lyNHO1L3b6V692mNLi+LlJ
PcbvTYpENZ6ICSQ88yGyVrtN6d7aMbX4jEmOKjw+F0Z6sZBfQFrFPTrSg0atH2Jchn/mQZShDTk9
kBZZEwfopEFZV822U1TnaMjG3BkolvxEuvHRs/PuYHrGN6vu52JbKLUW1m1anKloQ6+VlhOanQ/9
pQuIZ0+CDrhmq+Hg2CrFRO/VUDalXta0tyvUc42Sn9m/DnzaevaTQpvukBWOu7lVAWCvR8OBlu9I
KGKrUkFapf6Ye3n66IJ831l5HF+Bk9NvlbKx///Jbf6rqpc/FTHvFi+heM6eX9Uuf/2hv4C50BwR
xDjYBLAHrF68P0sX1/tDx1eCaYAJv2lCoPq7dDH/QNyyChkZOKN7s/hD/5LR6GB2YboAzHW9lS70
/5qzY1I4rToelw9xqq5LhrzSk5TUBpfUAp2juu8m8li72TNrbOel5QcazZNKieigdWpo2dwRwzXs
NXDo5STMVgRT5JiQAab99K7H0ntKKEJ28DWmD3w7/Ewvh3tcigvg2tF0Skcio06Gbo1K+ZQsFmPK
AihgSi1DF9H6wJ5yok788yIwrFC9YTz+7f7V0FOoVgowqRwpO6l/scmnoyoDawHJ8UVVfP3nXPKl
dObNL+RYSCGAtTCRXnUSL6aIkiNObA7QQRkLyCvIWmao5Wp6+E+uwp7PimBg6a2zzBdXaSfbqBSl
bRDWi61TDISfiWr44Kv8vgwYkq5D7pWcgwn15CJMgjVsl4yQ2cokaQLND8TZ2TXm6+yDVfD2lRjA
eliPUcierAKYhXPljkOzN436fAS/76y1MEb3x39+2+As/nWddaG8uG1zZ1tIqvpmn4jlQiBYIBZZ
7t6/xqnp4ddqYwGY6H3X399bBUwvLpKWDD0Kbc24pFrIjMd8AqG666oLzbkkk2gDUod0gVv+zwCi
gH/ae/Hm/c/wxiLknM7kAPorw/9f0OsXH6HiiI3+VjZ7pH/EGPTK3mtp1/4nF1nlNuhMKKVPlofu
FChj8MPvAUrMZ+mCcwHXrX31/lXeWBq/9Omc2Kgvcbi9vpuTnBUrokGzNxl9y2iE2dEdyRv+YK2/
ecdQu/3rMus/f3HHJn3QHEKnWBkxcelRcxgyJ/lPbtiLa5ysckx/jl5KvgoUjXAqe4dRGGzk9+/X
G3vdq/t1ssQhFFUwDLhIrzFktWTZUtzVdFaj1FyrcC18/3onwqt1tZu6TaAcgCreTev5/dWNc718
lrrCl2JWUYBNMy6G9rEpSC8tr7Jp+/7V3vp2CO1wza3X+vOM/+JnQh5CVk3bNPuuMbMrITm5Ty5N
bqVpfvSuVD+43FuLD+3s+sp1V+XoyWauKt64kHXd7FNrqHdRBl50WAcCjpeAU3v/qyGX51a9ELpw
Kz2NR+bXpqta5ul+2+jmqDAHL/dVmsR92FUm56ppNEefo0wx7oxqTAEid6oz+lrpaDf9aP0gsap/
lA6RwoonKyLfZ1EEoHm0ARv1XDxEfUXBajIZMn1lwkCPs8q4r3vFPixT1xz6KHJ3TlvOmt+My0hI
kAdYs8ocB6RZXz+kvWn6AFb7C62B4JSI7ilCWUT/Pp0k5/ykf5jt5MfYq9ZmiDjh1HN+BL3d4RUu
8h6BwvJVjDWR2dNs3+q2Fm8nO2KSltfDPcFp5KTCtKOiRtcygFTaQe16At9Xt94+nx2kLgOnj6Rl
3p04ebFJktj9pEe2F+Q2CGcGns1T48bEk+pR0dzHgvhyzZ3L58pkHN0pWX3XjFFywRiPk9LC+Gk7
6Qh1OlWGemXdllYD9U8nZmvpkuu4uE26c3xq5vkSQULzB32h68NHaxnyLehOD0yknSdSPn7oNOjn
QHYaf2lB79JH6++BBsgDmD/lPk68J3N2oh3gZ2xVnWs05HoiS4Do/BViT9YR/owocGtEq66qQeHN
XAelkOUzqIj3c9rOoTEo9GKU8oH4XOLQoOQhGQrNhMmujWNwIqXKKboQtex8NLV8fFQb+qzq+phn
qQoyoKFBwZir3tBCJf99hEHtdrSA8mmEWBTFzpc5QXwzQhPMkT98g9VXAYKJqtCtmSJAuOhq1Ecj
cQ3kCRODTYfa2TVRtnxtzU7JAxdqzLKTFqo+v9Xi/ovbam4ewFOq3CA1IinPZeyJbVrUPTnHI8pD
fR7u3bkqD0bZdlrQLDEiq5xz6E2NaO9LPDtgvaMlcStfJyHr1m77Ck6z1O4rlYkCwNtJ/5JFsL6O
09grXxj6WQjxLKzuXT9URkAMmn2DGCkKl9omIauwBMgZpa4Po2ep341uMfY2Qcj66GnMHsdN2XUp
M1fTvixJ8ip8fYK3a2atdmxmOQZ8wPSsybr5SaRDE47lPN86VobWZDTjgW63SyDiwUHx5fhg4uou
7BZ6Sr4hXPRMpQIu84PNwlH115uFu0r37TW5wtGYKlqnUZSloTYeiA/Wmd5nqs+ojiY7o6eQD2cf
umUpaAQRT9bGCAsyC/G9dPWfaco5PK71+AJ3DYQlq4t3M1NGn/xywp+VvL2wZIpsByUZJEAv9iez
PEN6EwcLVoJ9WcW3vSMua5KjfB1CbS/6K1h4fmPeNKjGA/JxyQ9U6nByl6t6Dfqd8wdzeJ775nxQ
6oyQj+IbuuSGKxLzW3Wib/DpzhLAiRw6lIgkAwwWqHetQkzZjXlO7B6jxY2tilsBpXCTTrgQrY45
XdmTPA46oi2CpKCjGuRuXexQKegXbT21PjNYk4h0pUXM42ZbJD4msdTya+m0uKwJ3K2CiK5nYI1t
stWop2nKYAcGZz3sZJtnX+WQF0+dYKw6WXaEK21utx3BjEQLCzffIb3wbscBA5LWH7xE+z6rwCy2
U2k8GoVq3vUKAysG1V6w6Ol1HqtFUDheecYKcZ+6RVUDdSjTM63Qq+eecDbXH51a/bIM6vitLnGo
RWqunXfLOIzEwktis3sSiV2pxdcpge67ei4H7IJFw4TWkA4MvianwQF4Pk6/Jmzx51jPutBw42pv
zosW6qbs76Y2G89K9H59oKbuCiBz4stIZilKL6tIYVt503NetOpz1WfD9Zw4ab+dK8+4JCJqvC5E
Wl6lVW/PAQx3ZD9C1TuH9PVO3ag1ShQ6LbVxV9LUt/zGdu/a0XICQ1G9HUKn5QxScfJQJBLxPjGN
bePrECxuUWybt0hTazTTOS+HhuCTPAXXN9GrhexBa2pDvw0FJHlrcKhmmqOCXvzWot98nhtTQnDe
KkO0R4UhUrZsisyoa/AdGj60RV80FlBJC77w2Enn8evQpKGTNM4OIywd8LYwH/o59+7IJSOfwZ7B
VXhGfF4qWXnZyETslXZZLmyF+ykVV3zu4yjhhsRf1IgaDpjLN5Ls0ge7xRphISMMPLvlkUxmdP+k
703IpIb7IkUrVnX9WZ2k9ibLieZWxizZC6UnU6HKsydjSBF96i5ymcGAiTIvTBEoi3/ABV8uzb7p
b5e8IdCl63Uy75ycItJC8xzr2sPYR8+Ei683xgPfqZfOvvCq+RjRi91plSvuMyR2ZwUVwsYAi3+o
FYLUK4Bvm4hoNtR1hJSrQ0fLcXQo5gcvkAiHfbQkN6YhthqjEASegxwyRO0jcWkMWdA7p/YjMjHx
pa3Z8m0kqEOjOFt3GrOH0axhRSujuS0Su9w4k4J410OQMk7YSsDPACIFcGl3w9qTrB6FiLQrYDLW
FehV+0poue6Pbe9dxiDag8Xzkht4k5Wv9LVLi9TrL8gJs4OWPm3seyZiH70oFKzL6HU0WILSV2Ur
ExzxCPFagogpGLzOCZtJYSBMq59xShbvbACxuG3NOqzU5eswyX72iwqQTkkK1wGwUXSt6GX00JLV
SAw5IqUEpZv1YMxAj30Qd9ODE8WEYtmZUB3fmuloGxnBO0QTawLRZIk1X6pN873N2vlMKZfW55+W
3Bs6OQry3Kr5Jk2vOEKcU0CSx0p+t6b4hu0ydKFuXBIRuEChn23KhdK5ViudfT1ugXn5A4kPHPKE
CdOXiLcdo6xl3mgu8BuPF98P1lZHv7/S/d5bGELEMNMbNU9/xJk27yypk4lekWkeWK0qvjU2VEgK
S3FBAClaqkUFL6ON4N3KTNCsRQrzpcyNHwVRCmeJYsPO87z8tukEOi+vLwtEUQghaPEb3XbkCUOD
lxoGtzPDLQ7pIN8jcAb4tBAXsCxxe1+OrUtSfb6cpZOtnMFeHcJizkFyOAKRshzbTa461a6EMhN0
bVweq0Y2Ya7K0W8wLtxgOZ0fFMXUcTA4q3jXzYG/Da28HQvFBDKllndaCc2xUgTxPaLVj7VJ4AkY
SFSdc2rvOjEPxK7agCohuEGBmMnFWOxhW2CD8nvNgc+AsDbISM71CVoV18vcwkkje7qMuq/x3FE9
Cxq8di7CPL7qNM6pvAAH5oJQHUjdVJjE9LetqI6DMsAGdL8a5ddJ8SYqpcNgOJFPgO9Gl+p9U1Cn
wZ62NfVcuDU2mkw9Mo+8NuJ9uWj3XjkGZD2jgPOKA+RZCujU3S65MVICReFsWKGa4jKNlHEP0+Iw
T57P77L4ah09oLQL6lqeLezp9CbYPGhaR3Z1tczEkYzCMQKlnu41Dh0bV83SPWqfdW9XHqZyvHZb
FFi9uKmpETt73uKol/6gTQReQS/2da3ajxrH2lSdoUbxsIRR/1MfprDo2fcoPuMNDug56NTmjsHb
xAeGUzGVzhOZiyjsIV4A2BTnM0KNAc1F2LvYiNib1vckI8JYGIHLaWDUkuJBFONFU1Wf60n3p3SN
4PS0n9pwrmndj9FRyK3UvE8pYkldgZlaLJx80IwwGb6fTI19Olo2LqNSryQ6euQqvU1VLBlgUane
LpFytNRKwf4K7aAY4TtH2aUQfBRFJBO3DqFZzlzs0mrJRShH+DX6Ml8vpbmzp2U3RNnjGC83sld+
UDiRHRGlhm+qNLWU5JmTGqWjZ/O+tppv42Jr4cpap9G6qQwZfWYV29SkBnhPkquZehHqlQl9xWep
Z0msb6eou6V0w5cjsG00BCoa+2haUGZkoZJFX8e8uLaz4pMEPEkfqN/mqXYVtw45wUWf2aEQVeoj
Z6zbQEvcRvXpm5bg0W19pmrSq2qXUgMpPklsq5hQ7cwHjoi9Fi7pavhTrOZ2qsxzg5SEM7UJweRf
9IvebVSXH16ZZB7WxCuiLDQl4h2CHKm7272ZJOW56/bDd6C3yZlbPXXT7OGj8Wp/7gYrTPlXr0xI
gdeeMqP8Vi2BQKgiEQUfaWD3KiEHKsOa2EVxRXNtHNmhcAlgbVFr6iB7Zykxy8stb2ultXJfuEm1
t8s5ffBS297IymzQrERKiBat/zSbjndjIJoLHCCRj4rCwH0gjIfjnC72KDazxzRjmpe3DjlrymGo
pp8Jcd2I+XTpbrpJJvc5NquwAG5+hlpUoB5t0dzALAAQRsEw+0ptUODqna1wYu5HJKuO2YRx75Ld
uqiBZOKzTZGRbUe9hbnIYPw8bqP2c9ICnS8SZI89LeRrp9S1zdjUI4+n7n7CcEW1XukBu9K92uYi
cDt5nprJlZsXnJok1E04pajvSzgKnRLHu2iYtIN0RjsQqiGfqUoFUkAO4+sp0/O2OJW+e+l1ZZZo
nuNvwCqGPaT7c8ep5ytZOR1J4AiA7IGLmXp0QTV7j6PgfiFBZBNXNWqlwiCXyTSASifC/aRU5t4W
6q3olfauSBz6F6Wb3fVm1e5pFKjPpdMQMa0jnPUq1T4otZUfi3TwGDhE7SaT+hyShHmo52l5cmzo
8Xo5u1S/c3GDfnAMCO5D3YgMLpgQt96VLMCLKKNc3OkurGfVTs+yEtqHP00CuUK8DrynDrGFqSU3
SU1sMSIl8tix4n1gRjzpUrl4jSGrYPFeJz9oyk/mJwgJ1aQqBF5IJHagoncjeTN+UZebQmWy/0Hf
aP3bXrSNfrvaelJ80RMrktLq7Iar1Vp5ZYovonusBBVas9XFF0hcCLbJdNaeyHr64Monvb/frnzS
m41joNP5OpdCVDb/TKOe2CTQLl/GCgte6KD5xdyQzIrPSacVSBpUPFUzqYrszSCyW4wQGWFdFKAx
eaKouzEwLYg3iKX6oPX69i+Cu4uGt8dY5qRLKTl2uXGBPTRpReybMFXY8IFU5BCGrJE67f07s/YF
T38SSFYMEnWAMsxnXv8kY6OAR2Wz2U/5sueH0MSyRYbh/TDh80KtMKqPOpVvfUFGNcCzNMN0ETq9
vmLTF45RO3qzl7p9xSOGrUTX955hOKFZuB+MF35juKwL/OXVTix5dZ9Z9RgbjJ+cLMwBNbItrgtO
8yz8nTG68O3cuZ+m5oN+7K+G6283Ficgcy+8xqZ9cmNBmDZWt+ooCJLSMCs4gxuoMfHNSaoZvtam
5RnCjtEfLAN9ahp38z5WrcQM7Dh7yJfUO196SBibhHywY57caQCGGsKURlXewF9mj26gFVbDlYYl
p4nr26rglROdS1CIj3ZL/C8GQHMvG5daGJ+K2Oj09PakfHbnow5rzxei9TZuOqPzz8ydqhKzpigx
J5ZqDV4m3+Feqqi9fJFny7maxCspWlNW739TbxLd+mZlXX05DFp7K5Pog/v3FgUBBMKa8crQFSvl
yf0Dgl/rcOrlnrHT6jrCM+hUzgVbhhyUW36vjCSXgvAQwbmv/HDKctJPXzcM/sfGIU5nBEjsyQSk
VkkFK7y035tNYvq9QSL0jFZ1o46a88Ej+NZXtRmOqr9ySAAynjwRtR4lXoIOZ08DQKfuqtPlAvdT
sxFy/FyoYxk4PTEP6TSXvuOqk1/n9YhGxaYOsUX7wSvhjR3h1ac5eWJUunVoosxuX1qEaiHy7Zcg
nx+9KAksmaPQxf8E/u/9bejN280rCLgg00D4BK83BdojNNJcLorniMLRMBfEcw3yaI1H9/1LvfX9
dJMxMQBOfPD2yStvhgkp14k0dDm1+b4IetlFM827VFgqHQ/NXyrXDFQ9tnbMxfUPrn4yvfu1roBY
6b9GruioTtbVCI4YtHnc7WloEVq9OBsVW9cHd3P9iU72nl8OYctlhMwr5ORuKgTdCq9xmn0kDCT8
qNis3PVJNKGkqsVusMVBY2TyQSrKb1jR9ZkBwcFcnAcHDcrJS3aiNc+Yy0U65orztCDwZJ1bS/AO
qunEPnkiFyA8Vip4kMx8e6LZPxpNrd/st2/O0M1ePwGUtJOPoKmDrseGx+sMkDtJZLQDoRtcu5wh
adzElHgUXO+vp7e/NtoZx8TQqzqnwhDGVjLu3Ii5b28Xm3gZ2rMI0co+Wgnpha2P4Sid2R/Yg0OZ
K+KA+hILYoIO84NPstZPv3174lDhCxi8zk877Y2XpXWaUF9FInLJuTV+WstISZcwV1CuNTVf0ZGc
fk3suGKRxOGpDHU4PG/e/yBvrT8ENwhvGVLzkj/Zu9mNMc4U7N0DtpYuoR2Wi7PMNB+JzzDDutfO
6qH79P413ygr7BfX9E6oOUWCeSRSqfBAnwScTgDC4fE01MtFObx/pTe/HRQ6pEfIr9zTCk2hIFyE
yZXIM34gJe7cc2o8Z+6nGclE2Qwbx8o/gJa9taxtm8rPBVuLeutkWQ8j3EXbQObUaDDB9dRW95qb
FJ/RX3J05JVPytEYPb3/PX+DsK7Ps0MhtKJCABucPs+1UDtNpB0/o2IQRJO18rPtVv03gcfmQFCI
w6CvnR7xZ+gbA21uuCTYF4VGudOXieNLffjmEAh2Br8s+tp1jn2u9pj23/+Yb+2oDtWrvbKEMVOe
7OdxN6mRUw9ynw6VurpTnhwn+6Aaeev1xMuJ0yXYOBUV3evXkxE5BrOBHGYLBvC5srxD0iymvxha
/cFu8uvEdfoMAydG4UfVqKPJe32pwl7kZHSt3I/oxEuxtufJugpn01R2BkgJGodGGhqizjH2VGWQ
KjDjpHvTKV2K0dmpjhZt9xq3LklMC040WCe1H8Wdsc2XLP4cu6oDiUBVP1C/vPH8wdIxgNxZ5ETC
1Xn9uc2497xZLnI/w27vy/KrrUIoHwkmnpYPXjQfXWpdES+OkTNd3FpVVQ5zaYNAabia04G3Sdwp
4brn/ePlxfdy1DVc3bBU82R5TcXQcz7SedrtiqHNnKzRPLl1/f5V3vxKWOYtWGZMsU7f2AZnhTSl
tN+ry7ByssS1g3yhLJgug8X9oDx4YzWvb+e/LrZucC/uHylEsipMLpasLjcxlLdeiYRBM9sPEg/f
2ClfXehkLdOBh2ZusCaKpt2su2RZAqDQWhmmYlH9poSyWy8frcT1bz15ghD4UE8b6//mCPb66/W6
l1jIJeW+l/NjRDYRUbT9rp9JEUIi2yLDXz6t+5bnJuoHd/aNvYgqwEVlhLnIYOb9+tJJ2xie6O12
7+iyvCrtuP+EluQ/KJZfXeVk/dujVzQu33CfkkIMchkDrEy06yruP3jtvPV1aDOvRxIm99rpGba3
cIYbxJPt3QyRO0rCx6Ew/vn27azFqvGLNsz/8/qWMU5yh15IHmbipRvBEE6dzOaD3+WthUjzUdMQ
OhNnq55cJEcuNNs2SyJvcjtgeRBUaWA2UeHa1Ma24qAFOhd27vtP9ZuXxUNmr5ps9NcnKzE3a3Ps
Nb5by3Gj1rW7OE12U1oGXdlsYoktOPHC9y/51k+2/lg2qQycKE9XoIulXW1JuNrPDsPp0omCXigf
3c6PLrL+8xcbSEa2NdYwXrkFErNt2szfxNxrH/xmv/SSp8/xL6UefUkPq/vJw4SlwXWYhss9MYZE
w3PioJDQusu41ZzHvO/du9Vw/k3LCGn027ZU7nox4urtvlCaQINwo7vUk2oe9LIgKXZWo1tU6bBI
Lhj3IEr7bvLxjyb2Xbxi4srqLvLVKg0LbO27rQ5lGh8kj5mRfYGTWDkXahbfd9VdnjKczQyYO13i
3tKq/w6avyOgbq4DXDLuNiu1J3Lqh03cVsOm4jAdMo1PUTtYFxToxUVuDD1Moi667s223VZ11W8j
d8Ra7qV5gcojYlD+/sL4LfiAao4IBdWCl0nXTTuVp+aFOapZrXR7DGOMPuJePPIl42cwH+ZlC1aF
iXSZa3qIoL6CSTIZITVKGjZ2ExEsSZBcXRLBneoVGbPDqrZPYudiij0CrGNwO+9/3DfeUXxaU+VQ
ir6Ql+LrJSba1AZrJfo96UkQMRDwxfjPgOT875b9j1yy/9ZE8t9rlP3TNcJd/fc+2dvntBXPInnD
bcKf+9NtgqfEZTzrmFhS0XGxeP5ym7h/qJwzqfToHiO5X+vuF0ZZx4HrR1QzHTyaaH+7TYw/qC9X
ewM7FLIaEGm/7Mh/R6e0J//9pYPB+nWef7FH0CqCY2k6nPxwgFCd6a+XCSTFyqpVG6YkkiSsiiHK
RmzVsvtsg5XICibUEC/LIDetcxp+eLxF8TNGvYIvuN3OJsb4pdLQt+AEdZIEz1xR44AyFnGgxA7M
NjrvFZ7Iouw/DZnK8sd/2oj5G0KV41wwo4mk1oR1hSNuyOefOWi/rMblhwyNQ9uEPbfZQeHIw8i5
H0CIWfFnoThM79Ac29PT5HQ/CYv7lKQXzthtpKIcZaNfdigwtb6/buinHFGxgCCIU+CUbQv2LDVm
THSdGh/KzCwYTbedIf1K15MohASf39CGmSH6QCkipN1ByREpBLiSWrzti9w5snP1VojcEttWl8jy
JprH4ZPnRct3NdK072yZ4s5sQIwjeM3qB9Uq+hChW7EhKja7HRb2CLYS9RrFKXxmwXR2u5h9sUOH
OV2mqSPPTFuPr51JE2G/DMlGRRq046fSQin1G2qwcy/LzzOj3avNpW0CRhpng8loh97JKmhQeInL
CLrqwWh4Ft2DaavK6QFxIFWIrp2brXdTqaBhLPsQDTKY4ntYOF/hlYOEEtcQkZL5k5lGBzexg6rY
JegVNPMqSYh07urdAvczleOVWmY+VIdHLRO4medzU3uUSflJjX/E0tvghgyp1W/7+EdTiU3kPUTw
uHCKyjAGdEGcx9XcP4AzOhOdsl/M7445bAasmMvUIm1kSN4b2x5RRsJMKV3MnTPKKIzFXRkTjYQ2
p4KPq4rP5agcOi+qfWcurnvbgE+73Es8TcHY7+u2r0PakA8Fb4sjp+odWodA0660/0vdmSy3jWRR
9Fcc3kMBIDEuqhYkQZGUSA22u9raINQSjZmYx139W39YH1CSi5Jl2S51R6ixcIRNGkgkgcyX+e47
N+hPIiCXbld90UpxITDx7C7KFjSYTq6yV67DCnd0s5tnknKcKOqmkOBVmBbKjBqEnr+OLUuaDhFi
N09B+4k9Rrq09JDy04isgt9FK+SJ1PV63Toq3Yk5SMAUQyVYYNe0EZ216axSwvIvv4ntWsxK0apO
6ZdLqTJvlPHlioOZrW+Jlm8V9UskyY0jWeXCD8zjmKZQFbqiKDYkWRtOWh8Nqpy0/7QqhVru4jRx
xQc7k9a9UFC0xyjEqSWfNvBiggRbcR+JDHSmKzcMqJLCJNJTwmTCqc88yXZneQiyrIqt5LixLR4P
SFFOQY1OMGH/gSS3XkJpkwsUW6xnDacDovEv9H/NdIBndyxVPHhsqkCcDEsxQdZkOWxnMb74fr/q
raGfuq7mH7v06lSudXGZtTGmxkhiHKyemTtzIO+S6KsvOw0kEXid9EQDo3+mxJHOG1FmSEF9a+H3
WfolRutFkX0tYqTWtQsKJKP6V6XE3gm1RHG81q7mhDHBGg5QBFYxl6b2kAOtCvgRRRbbS6RKETp4
A1FmgquznynFh1a4oMOGqtt0bLpNGtQ3MznxWidLpGKelmW6tCMVHViGkn9W+MKCoGYMn0y1JKTR
dPec7qnA5UnV5xhcyzEVJy3Ew0St100f+U5Mces0TrwYXm3RODsCn4lIEBaMfi+OrUfDiLsaZnHs
BjMR+fm6lsst6kPZEbUh4/AlVXO4atWUqvTRCDVleGvb5c5q1Q2bTiV2aoWbegg+yLF6ZIKu5M7q
HIBfZGlrE4NnIS1jTf0sAGRBsm3dqxSdPR1BiB9CVfnoSpJ+LYd9vTbkxLgoPENzsOXO+APpNa6Z
kZPgLbQkk6JO0RvrOD4p4gz93KkqIOuLndY7pislHwWuR0sbWtza1ENGsFKuL1JV9vFoNgs2c7Mg
wMxZEcm8SjP9izdSwRKtYrEb2uVM4HI4wd2YQlqxAc2PqG8sm7c0HHVqbINmkZYTpcppfqm4en9i
ido8ldQ2hKsWfWrC3eDISivN/AbqYCfnp1VkHjORKY5UewAMdf8kKDxMg4xk2uaKhz1dNXHrVZUr
1kliDbPar8D2SVCXEyhBqTzF3BQIJqv+KztJcNP1xJYaLLEybDuZKiBSp6JrYkfL5JSJS0mmIkmz
D6Gn51PyX/gxC1dfZEAjZ3VVolsjq868UInL3GS1qzW6vMYuWVD9kF/IqpgWhY5S1rNZfGP3jJVM
jzxKQlpt996ndDAkpGOIsHclgouaWoGgHf0HB2Xh1zYiRcuLZxEKDtwg/8D0mFsVdYXYJ/KP8w4v
Zluvt1XEOKJ30iRlZlgwAGAWR20BFfhnoY3cy/BNJN7B4FNaELAKyJt4nWE3tqqpg1iITv1c2RuM
JzIQ0LKPkDG7St02WWeNedla2G9V6WkU2qlTqtRy5KYpzSvfUv4AIlw1cES14SY2ar2dgBty5Rll
MHkwj1QfzZWXRMeJDyJRtFI6L0UKFgu3RrBYbR7uonnuugb369oViJrO1k/9AfrnjojcW3aptVux
t02HmNWOf3UjuDEVWINV3ZfahF1CUBcoUmZFBLItakh5VIZGKNHkMWyvXExy3mSnzNX8RnFHwrYe
GGo0jZuKOhvkH+WsRmaCTj2VMdLz06H5YOdQuvsws+cI1KGo2aBdodJlc7OqBciMFmc0Fe3LivXX
DlqnMXzwA2tnOjBNJKrzqb/RoecP/hVuFMW5lTeoPIPKBAThmdlkpzMGZCSoMdQ9V4ys3oBQFLdW
hpLS38nj5mpibVTUNDd2R5leC/LstNr5+qK0GzYvrQFnzkZSmBYoDEJolDDL6a43zSDwRWuzVM76
lElWtNNMNQEUFfO8kAGiyAxgmXpGLKufBbl3IkWA0SJd2/gjxj9DCTYxMOegYKWdd5r02ev5S2fm
1SKoI23W5sE5oC1iPmwfL8IwxxqTZ+zKio0L3yg2Br7yM7A+0pQiaCp6msZYJCk4gxAG0OwgVD+/
C3Efhb4Eto8DX5D3ONgRnZOcxoboceDrwZIoQBtSN+lGlyCCPw5estrZPxLOPFnpE1/fFz3DNabM
+qlYo4Ek2BYdYo1UHW6DQqwaYfzj1+/ERAZi2BSJfFsyDptbjSWjzxelKx+HCrrtPB/OWcL+4rbZ
/l4OLzTuwR7sWrRpOkg7lypQ2Hqfga9txtrMFOn46+7nSfK1krAOtjIuEwaqDJnFXBYUKGgxatOX
L/Tcb7MveibtyC/zNCkEXKqI2T0ly8u6/KT3KuW0KTvr7ir/J+vj+2aOliPISIOqv6i3RX+5Leu4
+rpSHD89p2yt+pj+vS89LDmfP9G77f7KpO+2v72/SetdNbbAC9Ld4cpZZZH7aK29b9G+uS+dIL7m
rupbzqyyNCbxI9uwyu+O9+9i4Gb3H2OSwguoYoGC9dd4sNnI9Q466Htd8PLd3fXly995dAPXt+j0
ZpQxFsFNddgDJrR5Ur6jrgtvbkG1LYPSz3TJkzMedIl+xA4mqRzqaO+OR10y5sbeVheMmiEaPBba
v+7G4XWQCcItSnnuxm3lCIHDmFo36RwOxpi32RFPN6C+81J8/wlQj0goIuag4viZJ2B8KUaJFlmm
u0/fXkfcbcT95ODwYj8w1hM/Pd8PypGFSQ87pfdjx1vth//CiyGbGC6SjX00FPAg4HLBRIh91P5g
I/CNvRF3DwJBx+tGBnA9NhG1PCbKDqYHNmrR/Rhsh95PD3dv3huaHsi78QONgrfXdYB+pIA4GGlG
z40I9AMoEzLo2t0r97/qgG8n9u+/u9oRQkONHWUmx/Hg2Tz45Xh0NRSmmsLcvz9+oeE/cXdfo6Sp
H8S3+/go2JbPhVHf+8JDbPDt5/dxwfJ2jF6+buTvvzdGS3eX/it6+v1RF+1Dl4MPH0KZw/9+f3/f
XvnZNj384yLYQgcm57i/2/6+lZvrhCjrh151B7Heo+YePLYvnf8lftcrT/2DfM0rz37i1/Hu+jCe
u39hGbH++pV+e/93OuVlIusrGz65LoLy33/GD80cn8aHOIzB5rVtv7xmo6Uu3s2CJiifxPzPRrwv
X/C5J/prFP/tc/4QnT/33x6/w+M3buLtdfH7fwAAAP//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Profit by Division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 by Division</a:t>
          </a:r>
        </a:p>
      </cx:txPr>
    </cx:title>
    <cx:plotArea>
      <cx:plotAreaRegion>
        <cx:series layoutId="regionMap" uniqueId="{D0683C9F-370E-4684-9CA7-8D6CFD34C681}">
          <cx:tx>
            <cx:txData>
              <cx:f>_xlchart.v5.6</cx:f>
              <cx:v>Sum of Profit (BDT Cr)</cx:v>
            </cx:txData>
          </cx:tx>
          <cx:dataId val="0"/>
          <cx:layoutPr>
            <cx:geography cultureLanguage="en-US" cultureRegion="US" attribution="Powered by Bing">
              <cx:geoCache provider="{E9337A44-BEBE-4D9F-B70C-5C5E7DAFC167}">
                <cx:binary>1HrJkt04suWvpOW6qcQMsKzqLUDeKUbFqGFDi1CECJIgOAAcd+/f+sPaQ6qsVERGhV5Zl7V1aZEp
XV5eB+Dux48fx1+/zH/5Yh/v+l/m2jr/ly/z3341IbR/+e03/8U81nf+XV186RvffA3vvjT1b83X
r8WXx98e+rupcPlvBGH22xdz14fH+df/+iv8Wv7YnDRf7kLRuIvhsV8uH/1gg3/j2auPfrl7qAuX
Fj70xZeA//br1WLNY/j1l0cXirBcL+3j33599p1ff/nt5S/9yeovFhYWhgd4l7B3EnOCEMPx9z+/
/mIbl//9cYzfCSGwokyib3/k76bP7mp4/efL+baYu4eH/tF72M23///x3rOl//Hxl2Zw4enQcji/
v/2q71xu7x4evfn1l8I3yfenSfO0AZ1+2/Fvz8/8v/764gM4gxef/OCWlwf2s0d/8oq+6wt/Z38/
m3+DW8g7RrkQlLzuFvSOUCqIpH9//MIt39bzv//7zQW97pg/3nzhmj8e/Kc5JzF3ITR5f1f/e/0j
MZXin6aNUoRyJun3pHrhn//Zkl730I/vvvDRj4/+07yUmrvq7t/oIPYOSSGVjPlzQEPvMMGcx5h9
BzTyu83vgPbTZbzulL+/9sIff//0P80Vp0v96DzUNYDbf2OdUQwxpqj6x7n/WGfQOxYLxTCj3x/T
301/d8sfS/olLcbCQ1n4/Quvge3rTnr1R1647NXv/Kc58NgM1v07k4m8UzGKBRLxs2RS8TuKscAs
Vt9hDnLte8B899rP1/G6o35/74Vvfv/4P80dl3elN3em+P1wXovYf5G18XeYK6ykEq+xNvAL4gRL
yV6k0f9kJa+75I83Xzjljwf/eW5xeTv0/1avKPqEX1i+7pXfTX3PjktgtWD//wLQ/vwLf3LOSxP/
vzvpjfX9WIqefe1fbXnoOwWZgWL+d3L2HNRi4NYcqLX6HdTUc7f92Iz88yW9nkU/vvtsC/8vepx/
3v/8o0FM78Ld5ltn+UML9PbTbxuFbvfFq8+Iw7Ot/n6ahwfoPgGf/tGuPv3Cs/Lx42l9P+nf33m8
8+Fvv8bknZBUCATOogRRDFxuenx6otQ7RJRiQjIkCRFc/PqLa/pgwKR4J0hMwPtYMUoEBmrum+Hb
I/SOSxbHSnEgiEiRf7Ty7xu75I37x0n8/d+/uKF+3xQu+L/9Chba7996WqRkT8AMPw8tAAZeI57W
1n65uwRWBV/G/6vOySJMFBf7tWzY1s9LucsNlYlYnd3ltGLbH47mFXuw7Gf2oD+niDMOlFdhquIX
9hzFlR+dy/dLpuaEYZ9ds9HUh2Udy9NFGXRCrM3020ahvv/JKEYCg0CgVMwwuPPHTRKvpmFsWL4P
HY9OvK1Mip2gOoK//mR/kJQvTTEELRWhDEHrKyArfzTlxn5ZW0GK/TLU5Um8sig1KGY6Q1W17TFn
ugjS7779zSg03by90xfmFWxSIcIB2xXGT0z1uXlesXWyXPX7KgyDnmxNt6FZo/fE+GjRXdOvWgXD
zspCdfeOKr972z5+cdSwAEIxx0wyCV0nxPXzBVTTyLNB4G6fDU9OrmZyM/io+FyNRZ2apVgnnfWG
HbekS3PbDbuudjwk+UxEkYzB4ysphnmn8DB9nBZq8++6yndZ5ZX4exHv39ZHQAeLGeGgWqAX6ysa
DpKTRd2+U2bQtnZj6vks9sqO8ybkLnr/kwPBzwPiyaDiSGEuIWER4y8CPuqDCmMY/D5awaxmeCBY
w86E2qCsYZem6crLsq/SCplsUysSMl0NcjmZm6oKm7dXQ16kn+JQUOg3wMFAidnL9KsH2fTRkFX7
kXi26rbP40aPkvijDojarGlvypOxjZuPxdA+CMCUnZ/EuvF2YaUeMmUu6Zqhz6whfaHp3Od94mjB
bvMwtId+MXOr81biMZkDVo2eFCRcA/hyUrsuOtRGTTYhuSXbbGyyU4lr9PntLdInD/6AaN+2GBOG
wctPefgyA9sQMGBhUe95OymsV9d5moKIOt/YXlRJI9v5tom7EullwPEZsm217Wydn/QD87sq4+HQ
1Jm/HzGP3q9htleWD+jzHC9iv4ylvSor3H5SDc8O0g/lA8U2JM0ayN2wRnGuZxcmlHRkpLfMe9Rr
71Z/OtXjuOny2F69vd2nhP7TbiVIcFhQjKR6gTfROGWViozdr8PKtBhYlfiFR8nbVl5mDYQNRpAs
BFMRMygaz7Na8UoOM6xrL6s+/xgZiJws+MPYr/xRVWj+1/D6yYUYQePwBGQUC/KUUz8UJTn7zqw9
mKN1k59WTXEEC5uTmM7jT+DglXyAwvBUYSFkhCRPcPaDpXomLqfe2/005vmpjd18Uwpkr9ao80cD
LexVjU1x+fZpvgTpp+1hwQQDGAIIIi9OkwKjQza4eh9YyO9DOSm1kVUHmVjyBlMtjaC3Szy3n6pg
IYl6Hv3MoS9h+mkJHBYhQfyLBVSK5/uOJiHLEVXtvm9klBYcNRA3gyuWhPA6O317v69ED3hSgUtj
QUiMXxgbaQlDjCrv920k7RUrJkDaYpK7BtiGNjaEL2/bw09B/yIpKNAsTADqIGzJi6RoOCqLLq6b
Peq6dU3YKHnYGNkEr1loxjpZo2p9j2XuUhOVWZ5mjSpOFtI7p0dTqPLQcBKfuqzw94Poh/uatCPT
ZsrodipEdJKx0H56e9GvegSGGCwGZEboZeUmtagEMardL0XOdRUBM8mkdcdxzrrrt029FvQCWnKg
jjBTicUTpvwQ9E4Vne9gS0CH+uwUE49PBz9PRxHp1BGjlTs2dBT7t42+sj8K7iAyJjESkj8t6gej
68S6irjI7Wfq2FZSl50ukxd7x7Po5G1Tr+QXZSx+6o5iClT5pfvN0tl1aZt9FibjtrUoy5Oarmoz
ss5fDAEvB0JDyBM+NPxkUnX+k4B/ba9gPQaSToGJxS/45oBWOUUyuH3N8kHXAXaIlzY+H4omPnt7
r6+FOihbTEGbCELKS2oLBF08gWW9Z1CzjmZH/ZEXK9RmhVZ6mxMvy1Q1qz+Kup+69JVzxhKyTIB6
DVSXvYijTlV25ZNo90WHxh1lWXFpuoV2ySxtdlquC2BXMZHZ6qU3kHs2B7b19vZfC2WYLnHJleT4
T65evcrGUfF2zwwS+5wIcZhChjZN4S/qPMJcW2J/xulecS8gJifAMEBslPIFpVNUUtR5AM+8ZPFZ
Fo3A6CTpapMWIiu3b+/w6RBfYBkMz4hEQB+FhC7ted600CGpalLNvgOudlbU/c3of8pSXzECs1WI
VakAFBR5wYrrmPZ8rQ0gQj5npcZtFJc6yn31rxd2gqDuEIhY2NXLk7N+HaM2mtr9LDp2WxXee922
aE7Girr2J7HxSmoQqKXQU4HOBS3Ji031zVSN8xz6PTB0sqtNXJA0RsBoV6HqYxN10ftsaMYimSIB
KvU/BID3393zY1f92nnCYDTmT5uVgADPnRaVUH/D7Pq9rUSU9iO7j0qoem8beSX2qYAJEZc4ln+u
4XGEOjkjWe+7iEMYrkAa1nz2R3mYiq2vuqnQRZz/jLy8Uswh12MmYGdQql42UCszs1lsVu+j4Nit
q5bovVrn7lrRptyXov5Zhj9pLS8TgEInS2MG1SMGOvj8LHMucG1X0exLSmuxn5cx63RZROYrJIO8
AWCIIz3E8XSztip7H7sp9toUzTjqnJfd15ZhezWVBLqA3i1yF7WBqnSZzD1nBXD/ioeJJkALjA6q
i+mGmm7cNx3x10Bc2g9vO+0V7GAIyBB/qr1wHeNFbaIC+cAcavakjaJRt1bQVHZZ9CGUeDz/l209
ASMUBgK+gt7z+clJolq1kArIrYjyNOBp3a595Hfxkxbxr5uKKVQgEPvB5MsytKAuuIUsdv9N8fBI
zgnKVJSyzJT7t009KV8vAoJBawcyAyC+oMBinm+rLvJoQnMGyTXn0FEHQSfQC0S7w71Fn10gK09Z
z5v1PNgFis+wKPGATGWvfDS5KrEQZ+8XNa4nQbb1DVtnPG7AJUVimqi5f3u15KkYPMdvGDs9MW1E
YK6IxQsndGzxfDEgiNSTy4/bibZ3VtropPWz8Xoqivx+QKa/DrzLJ13hLEqanqwXuTTdebmyPDEY
hYu+CVVSS+hFGjuMqRHBH4liVBeTcvMOFdOQ9pmojydRDD8BbfznjhoaTKjwQGhAjv4TncHtGgFh
VW7PSVdpOzRxm5TMZ5pbBI09wM9Z5AwoGMFMCcrx/WLL9fD2OWI4tGcnCaIF8DkiEOcoJhxc/wJU
lWuWtshxs5ehVzYp+y4355NjPU76st0UZTScS0AnvYbpVpaV5Jr3BUr5bIqvpGpu574puwTkuHA1
zFEByVCGNK+aea+Wvkw4MuKYBXs+uj6N1qLVPue7aOL3kyl0ZsZjEG/S3o+Xncnv3GJuhHwKLzof
8jreFXHpdBdVUovMuYRWx8jZZK1kguIhLeJ2P3Zmw4w7b3F/koty59vlBs11MsafyYzSyPq9q8qL
ZRqPJxmvh2a16WqmT33bpWO8ni8gYpSpcOKgSil1hQaQUpbD2ne3Kmp1O4mk5erEkyLJ4/4QCpTQ
kmxC6LZlbg+jrx+HLNqgut8xXx4cNxsux080+EQVwIZBvDC2Af2mSkIZbSKFCm2raL9O3fHM6z2a
fL5hfaZ9PLoUlYEmnvHPA25AD1jja4aytHLvaR7pCtql1c6Vbow/KwLO926NThZuLlkfF9pZ98mV
Vs9DCfib3VPZXSwLS0Dv/giSRtoStJX8pArZQ1FHcIj5dbeMB8PIWSvXLe7O85wcj6r/NC8gsIgB
pCk76X6qdlEZb5a6SHCkNlmebYZ1Oe6juUrXsdNT4Eeta3dFdzm1xx7xj6N4YCsbNZH8XLli2y8P
rIm8hjsAPhEtORItelTD15XQo8EvGgA1DSbf2Z7rVfGDLPlGOH9cxHOuF6puW4xrHYPEu079KbGN
hOayOsIdvrRD2EtbdJuxya9JJ7YQxToyTFPkjEZd5jSia5JXI5zrMp7bQdzkEM5WljdD75NQt6nI
qkO9rlsv8JeQ2y2PRpXiOTuTvdOrFzdt5R+I6Wddyi6xUc52khtNRbmZa/8pQkTH84x0v6DPvG7O
6DJC95tFO9ae+f54ykGkjeIkbp2OyugAsk9iKD9ZPd2tDsqsE8d5EKd0jrVrpjkRuDzqeks0BeI7
xjcyoCQr2ZWaI64j605juKyYVtUckpqWWhbFhtL+E6uaLzCLOB1bc+xanwYbGy1IfVzI4pQ3rE/y
etrMuC40wORNuXZXaKovcOy/rLjbrcC5kpA99pBcbY83OEBufylwdcx4lbZjeVuijy6ukgrSpCjn
3VKMt7F3+yj29xTKhi5Yl9Sd+eqVP2QN1jRqHswoTkjWp3UPhzAXKRr7TTSOLLFGHQ/LcGKGcZ+L
7NBUfZ/A7KA/HkuztTScMkFuYifTueHXlo9Uj47DZgFB4g5+g+xKa8HGeOmgKup6yHVop0ODVEqm
WjumDgg0WTSYyxUOsO2qYws4Mqgi1qrspnQcx/YTXUyod7YxtE78DLIjsOZ26LZ91p5awz8RJ7S0
5caxWS+uvSxY1S1alCrtFqvrnG68aMOkfWN1poB7wJxCx3GlqyDElZVFnXRLc1b37f2IJnurfLeB
jn7bofhOuvGE9cNl55sLUDOFDFFSj2zalyFvYXly5+isKxdO3LLWSR4AgqIhP3cV9P26Yg91hK/j
dTjjBhbc5vuV74euGyGiqiZdfa6BL+uiNReoesBNmah2/OjjaO+H+WIJYdvW8mMJsJrFXGdL86VZ
gQA0+ZqlWK59QqjhH/gq8WEhLGt3qjlu+96e25m7bdwFmVS177ymNc82yHp/nY99ZwBwcnJe5tBA
J4uX3Zr0K8i3u24KzT03tozSJhNFGmQ8QeqzXA9rKY+yuJI3mIVRywG2t7Im3kTdvM8I9pu5w1lI
sqixV4XNowfVZhRYSmnHR+nXy7VyXxFuSOoXuW7MjHWxVPGQtCInoKoO6x2a++jAS8R0qBp5Zkm0
bpplbK/52j/EGWQIbWO0B23Z15rBIOoGUtQKTa0RBxL78bRT0TrsLF7VIQOYPc9NZ/ckWlqrJ5dF
112zFB8X0hGuG1SIveFz9JUT325UHAAMUVUs4YQXNr4uOpqdO+stUBfmmg1RvWqTNrR8G1rP1020
liwth7aodSbHcNpYaLRAiM7Gu7ijFdqOIzfJ3E6ffTPz+2UF4zrwevnUz6w4+LKLhg0IUtVuyKix
WvWCb9zky0sQUGwAfX78BDS6/oLnMB9g3EJPbG3b2zgfB73wIZwKF2e5rkjVgo8mc1ez7MpLSPja
1hMk1xqzLWGqEbqM8Hzup1rqcrZxr9dlHUbNYh/T1Ba22RqEfDIvRZWSlbBENah5H3XOnxTQzH0o
RLWkqM+KIxWy5hBRh7auZup0iWvHABCD+iRY1B9W/4Q9kYB6Oo0fZSsqLerIHJWUP5T9yLdZmOm+
FhS0Ga6u2NzcyRDqvYOm4CqMVX/NS0n3fgU9ciDNTHXT1+NZPSBW6RxRs/FYQDnrO3IP6pW/MLTq
9DKy6gimOuSQd6K8wRGONiuImicoMxtRl9drNpbpUEzhCEZ3vUtENNnUlWTVAq/TpomV2BQ+W03S
VHMHhyTiwmz7oVy2Ge6ErlSpcp0bmGzqPIzDsAlobjuodhbENLWgkCUq9jaBfmaHQ6Tu566oQPVi
aiucWZNqznjSOoOTdlV1Wq02PxnWDqVSmvHUGEqDXgs7prmI8WFd8SL10iF1TBmJElewQeORq8/j
VAJvd2pIXTsMPoEYx4caSGCkAXyjW7WY07Bm64d+XtrdPBf4seiM+5rlPL+JkGju1+4iiySBlg9I
9A7HQ77NWlaez2vWnkhXGASAEQqZgPjVJFx08G85FSmfagCXYmrPZIzRfdsX896ZfD6agCNfemZz
oEMR2Yx2coelndcjNgqp455DRzS1GLhjGMmjGGqUAF/NUo/msOWOfPCIwsA0ch3Mpfs5rDEo0Wg5
riSbjF7yFo6radoBOEknb7IpGj6wChS/3Ak+bvjCXb0FJWXcz4EsX5ScnU/WGRrbakKd3ch2FFAD
Sqg8Xb7Q84UrVmtes/nCZfH6YSgI3nM3k3SWw9i+L6iLgNp2c3SPy6XYWUTMpizG+rY1UA1nVLmk
6yHWUjauc+po1lcJmibqk9FVYWdcUW4yINl7Bn3tEY8zfx1xw3vdcU45BDFp33NHTZQsZsSDruqM
bXMUKqjmfpVO86kbiy20xvHJXMf1Fg0rsOi8pde8jYEqgZ+rAziPdNtmaMddXtX1gwDd6mpklN57
93WeKpg2r8w+wpiKbmQhj6vpJABApnHJ+IWnAL6zzGRi1qhJrEXyqsN1fBzCoLTMhatgFSOAuaFd
didGH5+HtnRHUzN2R6FlUaYlR8NHMdXzKa6DSPhojnmf2309lyhxmFZb2kOhXmI5Jbjrux2k7bCV
ERk268pgr5wM6WzHaItrwQ7dEp4qCLSTnye4UFIlHUxqrgo/xNVHG5VAliUJe8ymegOB39a6C8sj
j9rhNJotOyx2aT9x6Ep2MNwuL0jL+51Xsr2yhE+bWkbmYWFuvW2n0m66zu0CIfZikOzW9wbYZzRN
6To98UND5gXQq8mABQ9VCTvNQGn9xCxjp4Pi+VFNB5GseTW1eiaLOfCFokm3MM4rk2il4bhlfXHt
aocr3fuoOnliC+fdIvrmaAickw28wFOSzyM4wdj8YmVlkdB+EJs6aqCy8ZiUsCReXJNJom2W0/m6
byK1y4waN4rDfQJJ2rOIjTjWss1h6OmKoK5W2YglhflWFmkrWnVt5FxfNCFru6QlkSl2U8AgVHhJ
Hw3q8y2z1KPULV1xITA3qa1Nh3VrmhyYRtweOAeKAqdvTxiK9gtMnu8pKP+HuR5LELUZH3cim+I+
NWNvT8Zl9Q8m64xJ1pbna2pZ18I4fAKlLs1lQTYz8KCkzq37aqMBn7XC8JsxdpzogMf8ZLQFtUCF
iAUwbcYh9YNoxaZxYrgY85bsV9U0B1Lnq56bghwvsZI6h1s8Z+1Cn0J7WI/7GrYZ+QaUsrkVGDok
3OuM0TsPklCigJgnS+QzqLYUVekkLPQuHa8vERDZDeOmhas5bbceA2A9Ghq7zQps5di7vNs35eju
xjmHgJd52jbReAghjjVT3XiSA+eEnpPac6Bc+QZGgkui5qZMW0bvy3HqP6CeQ2+yDvhj4VW0D5m8
xS1eE1V1RMNAAQVtkKSHYo6BxTZ1lTgXl3uxNmaTj1NIM8ejfTEtcYqxoycZUAQyTU0NgBALIJ5k
0SOHuh/BED9ZAPav4EZFvSvz3pyuoaxyeDy6bSdHel5Vhl7SalrPonYB6WKKA8yEZHzZt5m/6uFq
RkgqMo+6qRHcpkGLOkDsNx8M7aM0TH12O5edv4impuyTopHNtn46Ii+rBbSSckhlIfq97Kd8Q6uP
UP0AxR3J8TXD1QoK0AKNK8wCQUTAuStOcy8OGA75CPn1ThnSa+qD2hJfoT12zZhkU2eNjnrUXwLB
+Sqiuvk8rg76ENN/GLK5/yT7+B5khTFZJGAgBvydKl5AS4M/Z4g37yngwsbl9Xopq3AbTVm2LUlU
XJhhtYVuy3zZ5V0965q4NcGDmNKhhwspAwGNtY9DfYqEjzdMhG6TdXV/rOKcb01j422eTUnty/7A
oMk7BT1qt0CBrXRGF7ytuzX/0KsoPyw1SAC0vraLgb7Bh/YI+solmVnmTmJaD085ENIuY/dDUT1x
u1lsYgL/AbK5cXVbfCqcEEfQ4bIU9yLbl2pt0m41ahOVPtrO/QSygqhjAIPZb0jtnohmf7qUQ69d
H25jNEKjQvlwhGLULhrhTCUYF2WlsShi0B2yLC1YJG7KpV6dbqOuNFrilkG64TjxVR5v3BCJ09IG
k+C1GXdjHUW7taAtFIBanpZqrs/nkrdfWufETrr5amgyvsXlirZmKOoPw5SPu2lm84Y003UXzwTm
/S2/tUVRnfZ5Pm18NVWneRTHKSr2BXPLkUUtOhA7obN+COPONM2wx12udKhVkXZR649WaPK+TAVF
2yBKn+SdBHI2qPmGsSVO4PzbRLbMHMF9n2HjDP1cQLOaztSuGxsmiHCc9aAON/u+Ltek5AVURWxB
gghR4c7iKbSbqufDhkwdO1cNlQds7Bfsi3Abso7tAdHHo6wPMEEqcbVhA8/vp4WXWnTOwJUYWt2C
VjPc9ZFoLuJCFB/JiDTruNsNtaLHYcp8CpcGe014PB5FI3bxvnAgKzdsbjdLSz34zq6Vrs3ovrJY
FildWg+AsjMDTBwLtEekN2exMF3Ccii6KALFKzJDd9QvwKbNmI1biRuUgstsYtqoBwoesI4ntaNw
piARYQW39UYgSj4kUVHxDS97XVaKAPmclzRabL+tp6pMqI/by7my+b4tAAunuuo3LVyUSmIJ2COg
h0lLWzenoprnTYUU9MxxUbktDl23jeCu2Tbqc5ppBsS+0FNZjaeL7Yr3UoziGOT6frsIukKciqNe
LsqlMZ2ac1xwfO6AAe4jYHUHVQ1DsgSabX2X55cWeiYNBqY0KNVruMHVG61mtbeRh8EsakHr8B3S
KltPbFPcowWJM9ux8aJey7PRAcEfo/WBdaFMZF2dqsLFmkyEfG3MaJKhc8vFKrndElBLP9JiiY5t
06xEL/PAC43EcJONxJ10jVlSw91ZGMfPMB5uNfPog6uq8TwaGpsOhkSatCIkHuXT3mJvoZcN1UU7
NlC3YR6qUcB3zLYUdL2MDUd4JAU05l22Q6QwkO1ztTEsi28nTMqNLYsvFZ/Wk87D6CppylUmsoA5
OBvDsuOrqR9G4FbbABfcDpi05fvp/3ByZkt24lq3fiJOCNEI3ZwLutVn39i+IdJOWyAaSYDonv6M
5dpnb9vlvxz7j6hwlJ0ZiwWomRrjG1MqlVKKNZcRFCsx5IJxTExr/E/+VJN4bhsnK1zaPjvDUJyi
IYzyugjXRKxuCI6ksDFdxHoLevBzJPSa2q1yy7gv2efaaJXg3OTueen7TzbAkbdrQ5260M4ht7TS
i6uwYdg+5PaJWbwtV49bLPxKPCvOz25tIUqzWe3mYRlvmmjrnttu7LChqCKdtFcfZ2BREHRWAkWe
hk/hVOxWNQ8H7pfhTvGpfxutGDPSLzeqMUvidBjcgeX6PhRt8IU05oX6c3eeOqaTal36ZIuW6sjb
IswlG1hahxWd8yUc7Lkv1PC41uOc2Bbnx2RuFkiXeqnqk1esdSJE+W0jMNtt64jMbUKSbOvUHkkB
iw1amF7y0StpTtplS2Ur98rtpkxHsDSo4/FY2AEqm7T1ngb+9m1BRXp2CuZm81ZcnMobH72whtK2
QbxpkdxKB5epd68QKvGMM6A6wMzjZRS0MYNXfidBigHuxOr4yqpl3gW+Ptq6NDejmCEbN8snXvdf
y0qynPUwFOagX3OycbLj89wel0mFftzocPoK48PtEkeo6VnytXxtItm/B+ab7BnOmoEie1rALYD0
1iaMbu1HoUyVUi+0x36a/WNtluluoyu2kDnsxowWfNgX0o0gd44i3JHW9ZPlepbXpVCQ8sLiQcxY
vAqxNftq7OQjdtcloborUilqkRS6XlTsMV/ljRoxk2pnW2vIxwMKRlXrT0U7L9DWxgJKVF1mo61K
PFZ3PXqMf+596h77mRe7ujGwDQB93q7dwtu4lOSMJII4z6qRCdg1xfO+MjXBCb0v57zECcONUUY7
2EcDrZbYX/t6ykKjwFsE/uo3iSt6IvCFjJ7Tga7Q2xrQGEOq5i3ucQR5gmTc5Qqm5YHV9V0ZMC9D
Ilbk5QZDx19ruDr1ZnKitvoAfJRg44j0y9aqdYlRzC4iwQGv9hLaiDUPx75e4sC17gqxunQzW1UP
0KxgDteQmPSKcpCxWqOMXsLUCzc3EbBkclxmvimiodi5srI3S9GQhJabnzUtS1xAuUlo6guz1dvU
bTb2/Wrcw3uqcpc7mdlCE7sFgTxhuD3NHi/2zezf9bPqodL0KD9Lqp/J5KvEkIXGW2ErJ1NzsbzC
J6+SNsBJWpHQfJvBPLwpbI/30plWaO5SJAoS6M4NhXexMDI/dCGrsSyg0vbitqXyqxbC3bHC/8S1
brOZdzS2yBAcXFI3B+a4J6GC126IugNrB51Wxj4rF7p443vTnrfDkAbG37KWR+PHKbRhtFuLecy0
72P9HTo/2M2sCB4hm9Zp41mz83RjLwv45KMuqjUvqV9+gtYv6njuSyjLw6ThchRDxvgAly2qqhtn
MtEOJ60pDVHxHS1G6QmVgdorzfh+8IWT9GPoH9t2I6hhR+8ZkgIk5kjRU1+GwyWYFnbHuYB3P3OM
QhWhDreQtPNwwJTFcYrmolnG+62owrtl9ep4K6HoBKK311osOA3L5KNoqz37VsPNU/HIFz+KFzzD
RzJ6lROTVYTvFQCfKkb90t91dMGG0cNkGlE3HAsrhgs2a5h3UcFOZgw1XCvXYXtL6/bQOZzSmBno
OyYYig8bK9VBsokcIiXcFxcaU15v9cRRSZQWS+u04YgM6PFTXwA2l5Uec5fwJavY2CrkEGY/Vh2T
ryTy+ke3982NsD1q7kbOm0gWrGQq5pvThzEXNbwSIbvqTagVn92HUyvSNRLLJQQQkXrw3b6MpXQw
ecpmV69XQ6pQ23y7OU5/r4qanpqi00/SFTWqiW7FWRBOQmbKcDrV4UxkIuRo65RtHP7JVrvu+1w1
/VmKuf1M2lDxpAwXeTetJRR5sukqPLdjhyIgMkqeh2gE+FUbG5UpWyr66leT+TbYuh+T1Z26E5UR
NuZFssiJnY4Wd91cWWy9OHGfiQUofulZ59DEnYNwbwxh72uFMMWGdfGbWJWITqjDwr3r+dhXF8ct
i8RydyJJUPfdSYddAKVocMyTI0r/hTft+IV0WkMtLISMsIYBl5mxVH2yA5nSrZ3wda10qrOwQH9r
pOVfGl6bb77vk094ySyGpcr7bKaOH9tSap0CVhFRwsOxsfHgOSBCwZlH+YAjHfT7mu6L0qOPuumH
m7UkXoudsVq7WFDlX8qhBbYwk3FAveRDJE9Le02IcLE8d1sEdt6oFpEN//v38oopSAYticxRYJqP
w7oEPK7qCX/qESve3C24E2T9bj2QhpfAlj3kEV4W+3Vhy7MqaEN2c7vyo+y3zcQ0tLW5iI4RLwb2
WQ2PEs7xXhREiB1rQcxU01QOj5PUtZv7rfTzVsLfTyflNY/wKkV9aKKirJIRBqyXErhhVbK1nRev
BfehbFDM+sJKr0+HAW4rNoQS/Hy7ul7Mo6I9sXloHk0kx5227RJkI7N4IMM64JG6IE8Fyn/t+jlG
qXRzsBOoLNoBFE8N68rGWkDdSAq2NY+QNMQHyPA4QXNH+7l1Z/JJDWw4Qj+XOW9l80IWOdUxD/wF
fqgad0W3jl+G2Y437rqsxzCQtjpxkD83EGTx8fUAZnO7wivRyDFOcaIvLovCwEwQ1QKTza3+GHao
TLiU4sIQ08gLM8l9VIQgejq2is+uI+Q5WOUwxBPiIVPWhxCeElnigJTVEC2nRANDUPAYV/XIWvj6
STXUa5uOlcVoFEUAZGWI8L+9V1RnC2n8BYpAVSV9pXssFs2wvCkemCc5d+MXORWUQaLznDeHgtAP
lGeeoGo6ONytKkyrqPZYjLDL/NwTr381HIJF7XbRC84M4Q3zxLLB6ucX1YeoD0wzhNjkOweG4oD1
CgQN6vGCXgG6Rguby1ICHB4CmpDFQV05YiG9wTwY22SBOFsn0jbA2T13FUNKdQHzwHqRJ3aWzeSD
buoqSpoRMDgULIysfpL+SwSFvosL4+FFGBnAlOhJg5dZS32aKiQ1vLUfigfAdth3IQa3txWCDqmZ
ovLCG97c8bErmtwtoKvGzoJJv+F9QwBt1yUDzLaWR7DCwYtnWgwCWKEfGzqG76FXynOpBYUMuc5Y
HsgIAH50fNbGDU7msNXXSq7wGAgmT6OuyKLUm2/ToAn4U1k6GPKMYwQ62uAldBbOUT74FuDtJANv
izsagcSduNvuoVHNz05UyT0B63brwTB4FBU4jmbGwMW2UFxKFjaPa8DMU82jcjhWwcDecdiZ21RN
I+YGWuJgVRLe5iCv4ChUZiPI6h3qaCFz5RdUJRt0xA/NulHUWUrT4YAOLeUDtiITplFfF/IQrlbu
+4gJkCiYH20yw+L4VDYY2jXcqxtwKONuDVSdK91g1a1X8QHuFB4nc+na3c5DtKLoKMWWEThGMv/O
MFmwyN80EYpmqpiw3IfawxA28jq/R42Dzk10Tfx061DnV64xwCG762jm1jPWe1wEH8rX+bXxOGTh
mdP+cfTWGVZUIcdcXlfmDhtAzrdlOZOgEAnvlH7oqm6Bc+SOS4aiHjtQHeLHUJzJjspuvYQk6vEM
EAG5G1ihgk910zcVjpBlCBEVuvpVocJLQtelcae6Eoehvm3DKFmpDJvbclymnRmNOhBHqwNXDjmO
W4l3gU1OhwleMERu1g9eHiz4My23Gmv7TKritglCrJHV5mGdCwqFRYQYx3vBkZLsGgmwJxBO+dBj
fN+apS4uM5KK2VgG094RLsyyBTV10qoND2mlVTue2KSGNWVdB6W1c6LCOa4tadZYKQw4OgWen0yr
nHaUwnNNu9qg2CZQSXcl7BoQOHaLYunVWEk6ZIslHNMGSZfRmqdFu5iLXR/y20lPU4rnEO4Lw52k
9trepHOvejgiQ3BU8BPg2EcgTKmrgycfo3tXD04rUJep4K3BhoIq2d3MXov5IltAU2dYodiyxhB5
k84HCI7iQe75Ir29lUsAQinAUJng0CY6gvMBsAv7BSnX+dknY4i6sccmFUQeUHdvbR5RaDkyRtmD
wTtKDo+y1BEtk5k12DBRHdITjvH2djXTGM+6BBRRDgMSXXJx76BR3VrXR8HSETcOQUwkjrMgDaMX
52jtPBwhTeBugtIrhgTSuLNfGoMSsGUT1vgJy/+9xeFogkS9DOQkOd7dzVa4CNA4MzS2bFncyrmA
PFANziwaTrs0W/AX/P+vBPS/OOO/0rxflF77SgCT/55k/vdf/++TavHf965R//nHa2uv//zt8v97
gv3jb+2+qmvgf/j1l67f5t+fhav/69tdY9A//eVvgez/IXL9V4ux/+GHP+Wxf+oS8GMemwEADdGg
BZypB7wV2y5YwX/z2X8LaP+9/8B/Ytq//ai/cttoT4GINQeui2QBAsvXbPT879w2djyEr7GvIQLA
wX//kNv2fHQg8RF18fELwJmHf+W2g/9DcMa+tsICjooccvDfBLd/Qcx/9wR+zNNQtTrULcy6L0Kw
JFcZeG12Pzylf42uf6DY/7oE83wXKTEskd4vMRZvDccpRKmN2CMHd03vyzr8+s+X+IUm/9slrnf5
QyqIde3cL8u07gUpzqriOJI5yYTTVMzCMv3na/2CXn+/1vVdIeqH3Du9jpkfr+VGI4Uw5C84h9bP
qCRP3iAOjZr/wCcHv+Cyf10HZDJBBBVxN3bll3+4J1u0qEJdiDCetuPJLepTULZvzNqjN5UA/SZ3
SZHETpy6f0DW+amUbmILfyeEfyISMdKGXnAWxpJuS8Cgzg6u4VcVQWFCkPaMy56XcsiHCID72Fd3
EGYe7DAtSWdAXUWofZ3ZuXRgZK50cRnX/eSmjrcdJsk+ac4/VBM/LZ2WMZ+kSucK2KUEOETcGzJ5
YbwpZmG+eiZdA5i5HXcf+w4GZLcUn5xwVf8dOX59WmhzgGmMlwLIn/zCR6PAmrtoDRacVvi+MYMb
I65/XqUM/oAx/4KN/3UhH9chPjIumH8/vxbubXodTbTsl6p8DAQRMS848Bn6gZY2dUL+h+H2m6HN
aYRULkBGgsrkl2EwB7iFzSmWPSLEmdcZqENOOjRN2oAo+OeR/Zu1AKk68NFoXQVw+teRjZGwtdTq
dd9AliUa6QXG/3CJ30wejug4UnUAwMPg10G9UVPNm8ElotnLlw0JRSHjSbWnf76T72mOH3D572/J
w9x00asBbE30y3AgJS+M05Jlr60mQBXNrV70TgAMiRlhUFGb4lvAkbQqyYbxLRPYW9iQtf46kPau
i5xTODd5CBTrD8Pnutr/CPL/7Ztd3/cP01r1pg3w/DF+OD8O8BTjfhwel8AcVrTATIoARsvkRAcQ
6sdgqQ5gJSiYsP4P2cLfvWvsIiRC2A/7DPtlUaYT7VtPtOt+Q+KhD9zHAWjaH+71d0MX4oaH0Bkw
+/DXzMIkJHGb3q77ZQD5c9+z27KL8n5kf5j7v7sXZHQRIfSRbUNS5edHatHlQUQlpqSgOazqyPnw
z6Ppd4PWD/DpmIff49Y/f345d1uPjOsK7JrmSwPTqChucJz4Qzbht4/rh8tcR84PI6MAUhOVM7bi
xv/CwyXuKhNbreNI+Nkfbug3ewu/9jQA8IaQOAzOny/lOmoaXB9v3yflRUPouhKtNxNpryv6PqLW
xBUdzziIHWaz3CMl9Y72L0PMfIPOH/62X1yY9qv35pXkoTdjAxMjsEkNmy/1Tf81GravJQVZyc36
bSDws4BLnXk0f7CRuKuo98ls0w5HoWfjwtwnaD4ZN3YuU2/SGTD9+1ZOVTwCIssQ4r+oSX82a3kK
o/Fz2fIcPOwhQsIwGfDNGVyFQsJoLcouhXbwhxXrd28F0T8/IC667qBa+/lRNQSCo1R4K4y0X4Nu
PIwD63GgWg6Dq/8wKd2fsynXIpJRvJbrnHRRloa/1BbBwOcKmsi2lzac4LmDJ9MB38Fd2iOSl4u6
et3mFVyVct/G0B782e3+NDZwPz+vnPgKSHoxdm3wgVz3z/cbrNZvVSTIHvHy0wSvKbTdrgnZH1bo
v8+pny7zvf3GD4P9f3uZv+/WjILTQwMd5Dd59GtjBlGqkE5LhbfHxliDsRkPQQs/acgX/fKHSfWb
BwfoEFUh4qL0bwOlcrULuSzY9ohOfemuTmJluhiH4/96tUN/CfRbRfIevXFQ8fz8glxTTi2Ay20P
ARG4sgu+X/xvLsGvhxaoYKCifxkDsxx9LETbth9J/14bciLW/nfh+u8jHRgcsuYMyxD6Zvx8F0zM
/VqrYoXxSYH5BO8CYF9cbNHt3KoPPoMGhQU/KVSj/zChfzvJQux46L6JzSLyf7n0WELe90O57WdA
d+nK3Uy6oKJ44+dVAErJJ1OXNY57jJryHcG7HvJ69O2fB8vftyxcH8UjNkWcif5WB0Ee503QwPcl
ht6WU300na//sP3Sv/KSP01mdOe4nlOId33IaGPw81Omdqy040d2H3VDHHggnIAPuV+H/hxgoVR2
3sNIjda9451DncPMz7gLgQ/nBvAszitZ36r2q/Rj2u/m7t6BvfUKVXITn02XtT54xSdXlHELAZou
CElAOS+AMdFXJQ/jGh49aFj8jVfrY2O7k9c1ZTI1tsoqH+iiGtD5xgGGwcM0RNYs8uwtCOydPzIZ
t653U5b9u5E1wp+v5FsJZl5PgIPBf28cJx2iTugPlPXSz9A1ZLe6TYpmCXkbVJjacHLmHfBnWCJf
Td3EU8uBNNStxobaIS0zsH3RITqxd4F6IeNQUA3C/zOJRNoNes+cCm1MAFssK6r7ZAyDVDvPgxZx
75MTLHZgP/iSQUf2pZ7yK2FaAzcBzxerOUoX090BsE0iE9zPtD2b+c2pSRLhpgdkeIot78o3DsgG
9G5ZfyhG+lB2CmZBDR0IuQlNo31b+wc3BClTXkL1XjUH2IORkSYOyIILjgfqkIMVsGgQ2eOAC4xs
0zY0LQzuaQ/DqIAWi/29kEfitlk7QUkcELBqCT8A8N8RGABxHyHmBIQRMcw7aG0ZJg0oPPY4opDC
EE087SDq7j/XnY9ObuN5ZWRLggUsLpamg11h9pLpNShx5AZj7B5CemQcrA8HwCazXt+WNRypQNwY
/TCLbwPCjzhHDlmo1uM6lNcvUO5GRAgWgWOmrnXskOqprrwzR28g5ArbEWSdnrNRHScNl2P4uAi7
R2bjGUDMIWieODrLsTY6s2XbqcZHwmbedcUTAw5Riy3perar9VlChkSEGBhBFQMyiRHV7LZHB/Kg
O6pb9FLZ89nP4RvcTWga5mxgSLl+wvr4Gdi48mmKIOntOARxZXqdDJPKxgqOaHXrAVIEsrTuh2i7
CdWWLLQ8y7kHd+vVqQdAyvcKQLteYkSd8BV444gBbjLA0GijRtOOXZQWaRA9IROJywYB0I97s3w1
lgL1uIxeruGDKGcBY7tm6Bbv20sXHNFsxsKanrCXQSCPPfN5tfe2fWidfST2VQB36+SpWzD6mTuh
vn8T1YXqxLy1pX8AMD3po8ETM0BG/bd1OfogAxwVpSUiiEAYh6892OXW1rGHp7U+hYiR+SHgcpC/
T6LNqgpks1N+xDk4AUwMouyu695cJ0wovfVtEWswFhFPI7MTTZDWhQZtqPF0VM5nBIPoW8mRbbVF
IjoXsJSbIKYJoRl0/Xp0NrLn9ZLIheUe2+6D7om23xZiQaodOveMtnN6h4Bd3/Qx8IuML0O4q8Tk
JGgutd2MgGLT0IGvrq4O92jevJZcJlHwPdMeaqdBAHjvtnQO6PMwlk0K77y7ZZ3OQKuDsqKYQ15z
YmZINzKhY4bAQRFuIUjEJVpiw1zYGdgy4KlELNsg4H6yMzuOE8rgEU0gYmcuDxO0lDgKou0ITfBB
NlLk0JTKJJRAqAVOfQMnJ9sgVClwdsrwmSL2g+LdDcYWP/PMIbSz2VcV2xIH6VviUfs0hA6SQSCv
/Tt06D9tbvdJUpqV0bbdIOVTxxppmlT3a1bW86F21wFmHjKOZFGI9RSYHaZ73CTMmnYb8wa/CCZp
nM60BsqwNLdhR9E8zxWARFqWOR2J2dTtPR8pu2aEQwGUq0xqyS8jMCoSFi/CuwcEem9lDddzSQKD
p+qQlPNpV7D1o0Ujt3ijFeI36LSQAtqVgBAWwJFeTgQipxAJXiOi3xbXgVLvjrkZ2wUlv/9Ar2nQ
eqQHnBmWuUxKiePAlKpgUqdtJX6iRmhXiDTNQq7xMHR3RVt/Ckb3vmAEe3iwiXio5KUv7EEKTOGh
8iuklsCaLFWAZnPhRzDHl0avd+HifSTTlzGo7iRgppqy09w3Jw60O6YIF2LFm74A3tSx6d1nCYE0
nobgfTYfkTH+5MHmAQapsLRviFwG97UmJ3AjT3h130o0BoA8+D4YG+DVOyflbGBh5ktb6z1cxVsd
Bjllw0MkbQ7QLCnL7XM7BDoGOI1liyaI0Tx5doE/7mk8BdekDV/uRNh+cFdDsTUBssYcWHlzjuoJ
YQJEZZg9zB2rE1aY02yCj3bUJTbi7gjX5h0BmWfP4uut/AmeLk3C1nsyrDiqCQ69Wu6VDBMmy2+l
DMc4cuhnTZxd31H0OnDgxizFvh2d1HUxphYOdF5xtBVjCAAi2nTdasuwyCSfAchodZz77kEJisiE
6+yAGe0CkJ4jA1DmIQuXGhwuEnBU4WNddzwtOCsSOQ/Y0RAHjHmtyltgIk3MWAQylyNB6c5PxUCf
QauO8TSqc9uqj3CYEqkAPDiuahO6FW3S6PZRLPVnBfCs4IgM2wHRfG40MGNMTMcd6lT4Qx/X9aoz
xpTYFR5/KNCGxBm6JpYzOZBNDKB6vGPpdAyfiEXVW0gmupGkCGHnESmTSqC9qY9/NPY+Ik2LldBL
odlnMH6SwQW4FfoYibQPpri30aHfEJZlLnYN7iMa19tgTgprob7MkKlE7yQ4rjyXI32hTZ8EwPhj
uUYvyg5dGrnzQ68qgn6J4HxMg4ZrKKviAdv72vag/euDE2Hy+l6YO4V4blznJZh45rbQ2GYkwdxA
Hcd+NhnY9f0gsWFAmNGyuaOFczeQ5g4n+wNQ5Wz2t7uhd5F9RYSdVc2HSJJj5ePuwinfJAI2tePu
0QXjUZulz+qwyClVFEFC74PtMDnBy50kbODEkGqLCwdPik5ueyJ8PlmpptgYhP9qhBx451yriS6T
AbtZnOgoyum+a7avooQ/6UsEFfSC+tUXH1rldfDFayyIg8lRVm8gngTKpaEJ4jmwQ1azsAfJJ1/L
ZsrQuiGZwRMAsfjgCwoOuZrCXaPppRbNbREYllQhNA2I6U/WQ1m3jEGyAX2YHO+WhoA95pHct16L
XgEj3GdkIwIj5Y213m2rQah0HQoIpryHzQO3dl2jA5mNhu1Z11xQjwMxqdeXMRBlggaxt7A4HwMV
oD2IsQDtkWDFC3FbjFznIdqg6EvtxR2fL0AOn+w1IiqD14nVL9JvaOL3y8MECC1v+80cg3pDmoTC
YFZoEhHTQjz0zpgGlqJX6uCjr4ef8dbs58H73NHgK+iHMUFeGeQBDPcGQTTUjoofW4u9+npESIqp
EEf4s/XVgndPvpp6CPtdwj12wRCpdsHE/DhqwYgiDwLgqt/OLUExWYXTU+HXt5WdTwr28rxFF2m6
KQ/Q08EZSQ4I87gVaGrRYcQCC/TTZiTBjorwDNYL3JfC9y8P4cgydwvhQWFPrDRIc4RB+9b/aIMx
p914C1E6qXtsSWGbqZG9oq8Ufg6IiHpY6RBzR1ShQB0KPv+u3FC3zPAeDE4pvm0yRzdfGcMw9ZDO
jXDPvDpWKNUj7R8xdDIipyMHPblNXIJgVs9jsOUtwmt4C+uphNTUwH+3oMYn3qY9raZ4W7a3rnUu
Vbu+gTZo4m5t9+4GtpNuFxevNlnsrtc9Ug/LXTQEL+jaiQaf8p44XxqR6w0nAoR0D5uPqd9qfR6q
Apy5UV8kjiAlNLJoDnI7zjkCtTs5jO+dM3ykPEgmOh060zyOtMgmiXIBjffApEcOSXrUpkNoQGbO
HzfW7IZwyEafpEQX2ebeSdnukNxIjfliVvj8NdD+uX6oPYSCenJii/uotZdPyBy1sr63yNDOPtoT
oOEsMQkjzhuAmaPrfgxLgNeI9dTRZ8Nyq/yjt31A+zhhbon4SqfxoA1S9nOEt0CeogjBivHSbduh
bU2GBqo7BF2Rm+KXJSCZNw832j2Ad0WDuAwbbWZ0dI60+1B3YJCn6mtLD516ARyXlAx5phGwGxzV
m04jkjqwxGfIEQmbriAw1AiEfqSZQ7s8MHh4jlOmq49sHzOHDbFbxTYkYZfoztPVbhDjcS1RUgzg
8J2pQT1h9WeBLFQ46nNByH4RRTJ446uZxSGYkSzmhb0hqHuZaFJ/TXtOQdK2l9Fi6YU4TNEuCsKM
syL1EYQOqmA4aYidxEXTHEXU3fvSuwxheFe3AKACwG18PoeVuJ9DnvNxzNB7dec14Xtd2gdtkNOT
9N1SkNCyiY4bZdlie7hcEdTZHos9wjSrz/CCEd/S/Ib243vU2dcKuIKu5tgL9Gnk8+dlg7rR8cs2
IeJdLQ2J3e1b17XvGoX4tBSpZuWtCdSjxbhtxE2DE2MMM6JNGxE+d+R6yJjRyA1JpFd0uwqVTRZg
nmu/i7YKoxV9K0rATQqUwx6p/U9Kby/lbO+YTx4lAopoQlC9hMbbNZG7gyu5Y6t6GSrsL31JUuQR
Ma9tTla5R770srTAntlND/bYaUyMcGYMhuoYIXJvN/G4oIEOmj0cR8d7xtKQugs70H690Lk7sXC+
g2kKjzmJOnrbY6Na1uZu40tS+OQ4VGZHJpJzrOaO2cFIS1YRnJutZwmQ6pQDLtp0s8VSoGNNiXXS
ATpcommJGpoUPXoPyFBD/gbH2OHlF/43r1KP4brDgc7ppieuKnREkWdvmo/BtZMI0ffFvILB93LE
Ma61/zXPVz+QbT6roc89Hca9pJ/RVOpuGluscaG5qXV94wweMrA9Nlw2IZWvggxNGj9XQf+M7kU7
B91deIkI2GD3Gv0T2Da+uPN6AFifoLA9bqu7awy8tXrIEW09imtIrdN8Z9RtR8m5KYd0weLvUPVx
9NSJrPbWqBnhbHnjIY9qNm/ng/PzLfoY1zylxXUTtmlt5EcMhG+jv96iOyp2s23ICl9USTWj8fNQ
uQlOKel0TbLBvSp8CK5OtFfTln/PXkmWdQbgXQ+5xvNT3yIwjNDrUZkN5el68CYo+bMX7NAwETCn
8/+YO68d17Fsy/7QZWGTm/alH0R5KRQKo3AvRJhz6M2mJ9/63/rDeihvmZORVZX3ohvoBhKoLAQy
gqJo1pprzrGm56Fpz6ExbpnMLBOsXkJ5G1tM504bjkHDAyAseeyM9zEdDmUANzexO4NRuM3BqkMe
5XeQjbkmhnQRN9VtKnCRVdlwnOaAXx6cBytcOYJTKpoVbml3MXvlj2mOVkV/p6x0YVbBRmOYLofg
Qynj1awMw6+S9uRmE1XdZNwDrSO5NBTveLIcbP3T49ym5ipv4gwi0HgolDibAnFkoqQp9N2gGz4W
XyIRw0HUcOpJ4azr0T5GrtQXOLNXGqm8qhp3PbkLnkuWb7TR0m7qVW1msCP6z0gYEH+mirdZts/i
hj6yDFdxWb/rpMf9VmArFnLpjXlEVj4kwGOvIuxy8LXJLw4EvIr71oq+iow7IEzJ4noC66fRLzW3
wIU/HJSYXs3RftdiBzWrPg28WqK43ueB9hJikYO1cC7MaG3noIxc0BAJ90QX+4Yyw6WRNZsimVaq
d9YmwAPcYCuTCoUulXp8uLGm8D7iywvidm+m2tod1dKN08+qbr76hiryyhUg/MMFXA/7uvB2c9G8
isjhXrSU36MCTvpwo5fTvTOaJ6drDiGUNj4Agbq0KPZuk79q9ZfJk8NsiZQbiVzOU0Swrto7heXX
7kBeXDCLcu4onUZQAvZmdo1tP66beS+9iS+CuiguxBGhaGFIsRwb7RYG6jYO7KONvlO7Ac8WtYjG
aJkyaaD95mQG1BAL6DG8Mxlt6cYpGr1HMsF+FOuHxPiphuqcRfnZbN2DblmPsS3eybMtNfqvUJgn
op8LQ8vvtbp+a7yGHEpQr7F+6bj4rX6H2ss0TZ9PgzHw4hHLyAzXA4Zjp9qnBOwTGZBm0cQbcfd1
p9LN1Dq3xhRoKH3zPpyNYx7EO7Kam9ZTm64ndKMNJ6+f/b6a/UCXh2jWd1e4USQpf/vcWDsZGcKs
leam8qj9TUKKwspviDAUW3Oay1WsUUfTL2rLwLUbf+i117BNnnTqpF1npeOxc6pq3cmIVLZtmksF
92U79NGTNAaPyrqFoVJlB720PsHnaNy35rQIcoWtxCt5nPVfYlJvY6G9FBo6ChchHJOLAMeTT+05
isxPmtczMZsnHkSXIaDTL11uItOdFrlbHme3mdZY3bnrKo2QuiaNeWO67osjvY8RZ7/fmdrZ6rt2
ybCVZ5oWih22vI8hDzdNx4fT4h5H+lW+dOpLN4mtHcgd7SmACYWANsyHqZjPhpiGnSeJTuaNgJrW
UHxpxFDDKwSMM4tR9jhOovLBgP3stKRftmXCdLU/RV7yOIr5JCbnVQ3ROUEV5TCb215Dr5sY+Wlp
DlqhxGBdSLlmen/gzY0NKG5f9CK+HdPio5i6zeja6wJhoEqaJyeXL05d7qauQ2w0kQGtbVDmoAGC
XdC561igqjQ6saRMX9Pyo8NWJEo17b5NuHwbrXx0k+pOxTU+//nUd9FBNdYtGz5uLLtbRXP2pGbv
YrUl9xdLNzbO6Hx6vcDW61EPlnya5MSjYZ12/XmU7seQ6duUZt2eUNCwNOd5BS8uvCILHP1VzenB
CdrS7+HLNLK8SMe9zF05r3v4ocC2w2YTBhiOHOcaEujlY9uo8xxkK9JKZ5y9yCGVPCd6tWsAMvHJ
rJ3nihdrLLZ9aq9D0s+xGIAENLPljwUJBWW9qcleTt2wyqry2ETqQeMhm9rWTnUd3Xq7AmFHKN8o
TrDunlwn/szJ5ztt+DRZjMBpjBfR1DxmxngBkfFkOsjynox4yF177YIH9jCfAxgZNOHVwjL6eOma
EY5czf7QnQSCl1MbKIbpg1ubK5ATKwC+qynrSQnoeP+1+yxIbwwIOEypxmWp1M3QlIyFNZH9NgwZ
RptH8njQlWsukp6pRU1btkwrtSoSRbyaEZtVfzY2WLaeXluKJrx4oX2Go4T1uwnsQ0WnKK0u8y13
PMazTQWY5Ii8wjtiXL7PjfCUdHq8KLXh0HTaRvXR2dLVm9NUD2aQ7ulbdk5m7UqMYES28/IpNeXa
tqJ1aJnn2Q4vvTZ8OFIYq6posErn5prUOuY8EgNL0Y71vo8KlibU+rlPncdCE59j2NzD6itWumYR
bYxquGHTKu7nndnWj6yHWeYsmhnQ7/16gngJVOnchfolrCCtaUWbPAxjmyIwWi5vJIqzoqr7TWoy
6BnzgiUNU+bbyKlxUe71wV40sz5ugpmkPuP5fO3K5KAqEHZRXa4GzuqyTHBKO0NEPQDjf+ONekKB
bTS0WgQavcLcdKp5V6PFIde0qfT+ASQK820GauXH6C5fdU/aq4yMF9Kl20CCAUsKMEfE8i5Nmq+n
mf6w6Z/6yOuXQR3eVINzqFSyNh3o89rkbIdx6vyhye0FOfnHmnQEuApoJwmo9Wg+2xVjgTIsHudG
BzSk0MehYAVLpxUX6tJpHZd0YJMod3ReD07oERKWN8PYnEIeDQvA/dWNUt14tovw1Dnq09Qnn68R
Y4eUd2bRvCUlFZoSP426uzOunucS8xIk1KRn2DVTL49Acszwynzk9xn9Y1LLF+GMd0lsPJE1X9oq
fmYi2vil28YLax4eMyd9qx3u0qCDBWf1zyJUFP/d4FPPkVwridYlUX7Ux/DB7rIncnAuaJuG2phy
xuQll1fTiuzBoZm1fZjnt6GSgLn6u1nW/MswVMtCH0KGWeWrDDF0wY5ZwSPbqnZeBdZIw0xQNuyN
6yykAm8Treiu9qAs7jyhc0vGB5eayM/HbD8Z+kcfTGjjwn1m1AiyLn2KPcVzpVoNtBxDwDxpcO8n
3mw7UZrOyuuzjWskZ7RwTldmOUCFVb1ycoZ7tj5cnNRAQPLuXBNU4+ycUtLyTiWOPWHoFozNotOJ
X0coUJZX5su4ZGjYRI+Uk2dn0k5ZV99g+L44gAdCqJ9RKFYBlxjptV0CTn1CmmDIUpB9iF1GVK6N
gBzuwLyjQ1e7IpbPUZN8FEiXejLuklzdRlH6XE3piqJkb5VJQEJu2OSlcXTtYkNs6DwF0V4N/Yfw
nBdAQGsrGTZapN1Yc39QqfcCZeWFkvdI6fsMEvVgSjAnZnAfC3cDFOch763HPqXLC9xlqYunuJ0p
66pdr4MIwU0EXUK8DJVYZVIDCdqjHXXAiKY0urVcOJ7QjA5tWa4yPd/UKVJFbKwxMW9So3QWraH2
lalu59K9s9LwLYng2mRld1Fldx7LB695r6R8drT0PCr31USiiJxhO9D7EemoV1mAF0E5H5agiFhZ
zWfPpSLLfNPJbB/Y0auQ6c4EAkXalklkvhG2TcSHm0oN2UNTW08uI+FeGRhDY/UoC/1u6NGC1fiV
W/l1Mlgc7DzYzyWybTT/7GeIWdyp154l0bMdPpa9FxDe082bzA6f9aFa2RnitZwHH6TfUxC099R1
oV/kzQoPQYAmDyp0ag6ex4xzxq3rN5p+U3vRORsrj3O3HxxFV0W4jBsYg0V/a1QzbrlurWrpE+M+
z4SBorx85p4me1bPP4hqyZVhhjejm3yOM3pXynKbZUMF7sXJF/nirajlz9mrboHnLWRaHVThkObX
nGmBxQmsXQKwA0MMPyPapPRHhiA4xLYk8FakJi9eag2My7191ehvFLSMl+r6sW+6ndUFp4HcPlw+
7wT14mNMCgAtkHzwPSFc8ExbFA0kWYcxDda8Y60t2Ll0wpUNScVAuS+zW8sc3qJSPuQEg8OBE0zH
2/By1a6eNwS3Qj31bn6nyvRBy+XCzro3x7Y2Y1mf4U7tmio7seDioNX6y5x6X0gLguIv9xDM4AhY
d4z0bvMsO5nesEms6GB06bGS2baHCNyEIBIzrlQokqvJtd6nyUKHzqFwMvl5nzT1TLrS17LyYMzl
be1aLxPVC4rCDbMuF+8dooywo4UOXWsBCMH2CQHdDGnm+mimz+gFyyQpP9xGsto22owOj3WnuWMM
8Bqq7AIZ+hUDzxIq5urKoAggKTgyWJnwbCa79200sUWBL2XBnIhIeBidK1ffNS1ynxK7JB7urch+
kpG3gqF26ipgo46TrbjJ7iB083Vjwusj4wM6uh9M8arz6jV4AtQOMrKmtxJhuqlCpkGGam5y1bxY
w/QmisG3Cv0hup5/UizMi/RiQSIYIbxvnkfVrydYKXWGvFwzofBGXOJZGty7SgN/qxWP9ZheQKx6
OyXFruqczG/jm7FJ3omk7mXHZHVoo0PZymorRlH6rV589em8mloXrIJxDKH4M/k9dCa75lsAAF6G
h/6avlbslVCeeZfGhZ+4YuWWwa2rMd31jJ3XgqRRaplcRwdOyTO/O/RMg/Ohe/LK5H6KBU+c6KHP
qnid2Pam1rWHQKfm6FGFeYb/LA1rKUqNxsNLNrYTvpWYYmUnqoXo1JMyLfhANqn9jlNAV3BMg6ng
MVJ9DvljHaV3GXlfIuDjUhqOc6wbgzOWZtWyhTCwjEW7g0W1SDrrYNEtZIPRAvLqNlJlTHdsX3PH
r3nY294dDf8aVHJ8BacYNFPwpbyh3vYlKFcXSHQWbCGeQyOI1+0oQwLEbwbRPG22Pwhzequq9JLV
LKZlnDtrW2a+dFesafmoLI2jDxhddOGXZt0bMny6rvTq4wc+ykt0fbfaotyMTFb6Pjh0gQAFq13y
Wb9hhdE2s+tHd2b5IGE2oZ2UG+3wZjFSmPH4dPOi7d9jh2xi1r5l4jrHstgIwujEK6l54Sod2Tu0
I777yDHZVxbpphrEFQpG2PhjnKxLxYN60Ua4RupDmv+8am1VF94rSe9T8/iW4ujF5cK1kz3htOXs
aR8RoC92cG0UykWSy8IfUAihszJiVW9R074lUhtW8OWpGDX1ow5oUC1GF1DenqBj/BxgnLc8wGFy
qW3K9yOm/nOOrnYpNOQM0KeTWo8yojMk4jqlcQZHYliZquArcgu2ik0QRJ6ngp2KjX0uMfIuMWUs
ywiko2seu7q4aSFyWmiKMXAn05x/iMbzc20igZ4Wj7qV7SpnWrGmzS/SjA0Zjrg384GWtcuiJbnw
RdBSuEHFuB09cYrTFKivg6gj9BuD8MciHOSRuOpbNOoHAmrICrzI2KiFhhVD1T1VNLq8bFxrPpVx
shHjqEEPh32mzMqPRh4vlse0BPDbvJSyvcUJoOFnjXaecuTSIne8SEwa+jycflp59QTo8MG0umHR
zrW7YM59SXuDR72Rnh0Z79lHc26sxmdXDHQRzFiaKs9DNX51KYvoJlJ+k/4lim6tVQOPu/kGIP+4
6GDOREX3As/uNJvzi21tw070vkjd4+CwYHGMPqoIwVTT37o4PGCz2RGG3ibeVfKG77AokmY5zN3R
qguwlWqB+5OYdRYdLaKc1mzurZhKvlE70XSbKAUY4UWXgCFshowcNDRtJpE/pek/4BWsYrmCM5fs
jJQaU4+BOpjMOporDt0N/SrWaIsowIJePcXAKhZTNa9HNTWwieEtxwbzfskAjCOWqetrbOPpdXCL
DW/oyp3CVRKpeU3Vu8gN892IA/za1RT4tWICGJLuH0IG2ZY5HfJUHoYs3zVDspxmczuPzSWfImCU
HdYWcDjh0G8HnBwGVKnMmPCPYb7fT72JYhtxZps+PusCbI1k9qCZ4tIBoh20CW4FZgdhbrOoX8Ic
UnuCl09Ox+ZIw+HF6QoIBsH8g3A0D+9542AwLp3mHFRtjwNjZoDG8N8aOz8Y51VKRt23y5FhFQYW
i3ItJA+qUVj4dh8+wh+8EzRfWebewIq98nz1RZ23+ZLNXS9x0Gy6iOC2PucrARfKL6v2xiydfjEG
+QlO9XaYeAb0TDvbfvywlHqRBpaFMf3KDRScoX51rx780bAuRWrzHrT5JWEVnmowHOumRnOco/ZO
K/Rb8+qYQ+u0m55VRTjjV+6crc2p5M1+XRxmyK9h5lVRM0YxnO4jjIqDaPWfTL6f+0huai/dcQuh
ajDZtBIXs5gOqqRqF1ggtvOMacACAWiEmGqi0LB31UQVD6VvHYXpO14MpoX2MPnxXFKmy9sJxgwm
BlwcTphvM7qGXeZMP8fE+OwqzHDeYrbOYvwaO8D9OP87MEqwdpzg1rI+9XY5ixfhrvEvLFz9vdYi
bhkcXQytpmYZGq9BB2G2f4Yysqi1H9jqljHTDJZHxUj7ooKqqfuWKHyzPwYMIgK5mcp+BR9o2WK6
nNZOCuZ3WtkTMqaz6nmAVLgSZiTrO5NXMzNnCiLcSvjmYhYCDDw4pbzJ8Ij1H2H4kabvM1p9jKQx
GqNf08QYsVh55sNc3Tv9VhnswQtrBIV1Z1zoLcP41YWLL+YrTmiVx88d6QLALbdDtSlYtUj8YJdA
Obeq/tQDro/Gx3LmSfrauCBKWYDqrqQml8a0vfL82Mu64KeIMNhYkEY/nGE4qeHLjR/7AV++9Iuu
XopgN3PFtu3b7Ex+krDIIZGnjvrH9FjNofGoUE9tx6sNuIqpRiaXycFKPyaoAeHwI03092D4CjB4
z9G2HorlHO6nqV1Mmr4eE67Zt6A9BViZAan4OWkNz6s/UlMtRAM4n/YCeO/R1eROC9Qdb4vXRkv4
GjBVAt3yhVltS0tbBCMWSXiCC7e32e7KYZXGCWGBhIN9ZxojUXV2VkrqF0N5+yuXQZtpWIyY9ih+
4h7z+8SOuSbjpZnjobiSmEs4L2aylTkXAKX9VHUMQHlT4ZFsMncFW+g+H+N10T9UEFfS2Vjlc7qc
Upe8vkjOIabcSY82tVYi8oAQJk0OTY9Ho9w3FG1oNLvaCRZ12D9YvOAmjH1YNlZgdrAm5VeIzsI1
0mOSc3lEkpcw0x96xp2HszwPjIubwhs27ApuqsvLoO4hVWTGK0TZjzJmcYKa4qVg/dQC+wJ5+PQp
G3Mcr0W8AMTLMLdtMUz2qKWDdNh1EC1gFq3/oyzjGfsqNGcrzN/TuN4QCr/8BzVgEUwoTFtySg+W
m+5bPf6T3MYfHeXsYDZJAzOnofH+Hh2BQplXfRxN2xJj9LRV6Z/Y5m2s4r+zkhNN+TV2cP35L4GN
uDNqQN5kAopXx/Tbj2RchX+Ss/rjR3Bcg4ij5O+wTNP9FoCCm4g3M3HmLV8eoCKKhd9M939Nkp//
82i/Bdu//d//8S9D7Nff8vlLOv6vv/X/ZT6dlZOUsjZn+l+H0g9RlxXvv6ba//Ff/T1/7mH+J8DE
qiNSci6hor/nzy1HEIC/htKJkfwte27+5brXWPcs9mpLye6zf2TP9b/YFjk4fiRsohOO89/Jnv8h
nKPb0PyAhpgUDkRZviVZwEgpJ9OtYpvpoXGfkaJno0xq0c1jp0mdTTjD26AoQBT/5RT99Tr4NZH+
z/4wKVRPd/gwrND6Fn+D9B+72tAVW6HHM8SoDAHOb1D+utPQWfNO9Y19A0tq+JPQyx/uIT4wyqdF
ckeYDpG4399Dmjd7E81+iW6ElNanabDHUmKxy7K0DkQAtI9//znZ2v3trkUIJxjt8D8MSwz2af/+
L0LEMltMy9qmx5z9A3MinNBJjP2NMHJC3Y3e9zdjXVj4sdM68OUU5LwP7DreGACj3uGBDp9ZBoB9
oU/4hsHo4vmTobln9D/d12aKKFOEOqWy3tbeUcPQmS6xf1VrGQ8a1iTNLdmW2mnmu5dFRA4CSwQA
YiYKmTbvMGAlZfVjyLt+IygvaDHaIGTvQw9rBD9FEp8KJPXtjMWBZ8I8kxkw5sw7enrMUp7cnUj3
pimnkL0IOXp7Fkdqac5D2C4a08YyJ1ip1MT58GKrrvly4effp6PwnhLEHhYvTpyEQZjUGi37M5gZ
SdlvCn3iRTFWQNDHGCyshGlFMgbt6Kq3u85d6WTdGV5pUazCVnZ7Yxb5T/KB0yoHdPmFFmW9s0Il
ov8M9f5GD0qWjORmv9FyzGuwMZ0WtBYTRB29egCT5uErj1jVe46FVfeUiFWFvjABkwG6mnMeq5R0
1AT9j6GOIIGauojXjTa7ay3XsY0NndTuWqbEj9mccBqTNMHn42mB+T42EilPJQ05Qg3Pygj65eBZ
OYIDjDdGPNHIuTVSkT2xq4C1jVbQM9hTennADnx1hrTJmxWGCX14xcpqZUPrpQEbOBtu4Ja3rluF
/VavugwgnMel0rWccEphEFw+k9Zyp8suvxuUTv2RwgNdEz1nQm+NUIK4QG6bwIHyasNtDhZK2HKX
YMdixwjAanlvdFXzpUlNHWNsSxiiVayfYBBROeaJlZ4HYcl9ge3FWiODxSxhaIyOehbvdIg0cOXy
sRFwGbGu7aSrfEh8cApcpCLEouPrLa34hhyabhA+G9pLUg/GM3C0utkEGYRC9gPlIqFidADyhEqH
3wZsJvE2oR6Z+7lS+FuzuRIfvRcAApazqPb9ZHNGze56ihtHTsz3IrdzfZELRgZeWPPVUDIEjBEq
r7ztsP28pNbk3qdm7W0CNDn8KSExY93Lcx9bcXen51C7yAtgWUtZ/Jf7Va7nPxHp+k1nupw91pqU
u9otQO/YcwAwh81jmypOr1V01FavwAmqtRvzpcLDjk856LUrLrxtL6NWcccVqs/v4mjgcq/x2AIZ
02NCSp2scYV60ckZB8TKYKjWg5vWW3ZOtL7u1LBzuspI3jTwOBd96vVTqIeUalFN7MOKovGzl2O5
c+wQ+DvO/I/WtlhwygRAs4lhSeuAClLtmSchtHP1oT2XXCphMN7bJcuF/QDzSrCC/k0UdobJv9Oz
rAjIAmTxuCnDaLAWbqnhVyzVGDy47Ug4F56Ae0pSi3Vk4J7KoZ3vRDWSdQkm03gMqiJ/K7SZRltn
Yc2FckT7xPCSH9t8YAGE1pknFeqcUjaYYXkdWi6cuq6fIwxLzcLw8OpFuig/UlvUDJ5wufR2gP6o
Omi/XShovgDAR3nzMl9fyX6kDDBGQ8eglvG+sWK7a4lvU10cSXSq7TTrsauG+UnOHYEVTop33zSU
cDrd2si3UVKbukGwdyNmjKzA2paxqo5po/+wxiS7pzsCU69N06aflXOOE7Z7YBJu2JzoTE/KCa3b
YrazFZzTntBCTQ8V11vIu86Haho4+4FDfs0AG7IIKhGtRFMFtzIdjY20vWQXsstvG0BSXI6MLv2o
KFAphKJNIeD4NhW5xdtaZ2k9xiJ3lg7RisA5J5b+opjQR3Vbv0JzRSzpy4dAGf2+TKwfkJeJECiE
gDqb26XDB2etSF/F+FH1PMfdlk34sJxMbnrNaNfOBDVq2XJZuDgQp9tAa38GQD5uxih3lxl64Nob
VXVJZ9aYdV57Z4lBLolqMEzow/cAE9gmjvD6khHX3IXsWoA3LbadABDd1kKvfIUlh7dMGqxAM83b
MZhJkcyh7JBzBKk6tgD3kMPxpDE1iveVBYOYZrbVkPGLqr04ytCTNXSLiWxQqC3MtG6NBat/a8Iy
aXV2DRZ2eL3bPbXU8GSEdZOvsM42jpehpchOpjdaKhVbQcxp42aJ+OraMQQFXxaxu7dEfUUGGtZh
ahi5L0o9y/HAhyy+4E+xJg4YOW1QN1fOJ2Zvj2wjTHYMYorNSS2OIJonK18mY4yKyYwnup2a/isd
2GsYzwk9WjUCQ1Vtd6OJhDUBEybEuTGF37CQa2Vm+d3o6DcubGLaKkjskq1OC8s1E25QM9lo7jU5
mcQHGwA/cK789je2ba+xXUJPjZBhATY4rxnx1zomYbYsujHC5iL+Jd9WMyU+VXiKQAIRvi0N+i1Y
DGYiMbYV4quQPv816tZOrVSSd3SCr/8S6tZirxrvLPh1LoxrCTCS2IV8iFV3cXKneeQyR4bI/8a9
HVkt9mRN1c+M5O1LwhJY7CLZAGkyq+/dgHl/GuHfycgXf0Ae9I4FUs2DXuf6shX9hU0dmKmZX/gG
UryPDwuDGRjred8mI+kUw4k9sICtIqmQEJBltSQmwLJ/iRTvOq/09KVsLbb4Xbm4buw2HHvLRry/
w3FLxAg6qInwpYc1bPWNjhtGGa9QyzQPKnGeYjYfvFTfCLlzNya3Exnmpe4G5iGPx5gdfDHTyTjz
G7cb8XynOtFOULkyktFu9GR6j0OIaGwvOritDQbSkG6PiCuVR2iH5oPB8rJl2RjVHRslBm1BZmeY
WH/I/spAwknOC/tjoDVkFtqU5yKN8Qna+bB0WRjpe3ZINHNwcb/9BtBNKkK8XTePtOhUAm/A29xd
51qof33EVCpOxz9QdDVr9HAisyaMGrH2thYa3neUrsF6s+e5LHX8BQO/+4rTlWVJPePhx6zGAHne
So+BA+UYn53iohn/wNWtp7p/lw7LYPysz9iNKPSOpReAHTGYaR4zsslefOfqNiy2fxqjFoz9f4mr
22OUBFoOOkjwVwxKSGmPLuRH1hNNIqOanVNhAR1W3i21qfHco5xQ3dduzwpGKhx0pC5CP8Mdkb6Z
XsarM6kRbmZn0E8eIeBno3THe+B1WFQ1oRV7RxuTt7L3+F1F7t1qKsBjM7PB/SnOBAld11NU1QBC
b4gxUUpWRkXx6pVd8kYqwr3Xq8G6JGzzc9kf2ZpEJXWzXP5f7PJ/bfL/j5h3/z/KBTa0MElH/UuT
+AeI3eKdZOj/+p/Z7xSDf/yH/ykZePoVMQd2zjVNx7AtGyXmr5IBMLvri52O3eBe+u0nf5MN5F/g
tOCY1D0WzNPUI+80f0XW6X+hnXItelFILjB6jP+ObKBfqQW/SlEIXZDXLMp21AMBluX3TS3bawKy
EFO6xUO0veY6F8V1M6g1ixvJZlFCTNjtR/ZjFJjqmMHIASlfWd1TKdSfdPS/wSJ+ORZkEEZ8kjTP
FTSFiHHVtH6RxSSFGu3EXG11mm9oH0S4xzq4LzUbQTI0sxXGXahOjd1ebEy2a5MwwDrvWflnsunr
q5FvQQkdG+fCTp+wXXlRXa+pW7ylnTXxxtQNd4EClK2TdGhuGy/7UEb+Q3aFc+znwSEGO+QbHHoM
+HPg6uAD9rAYkg071crPzGt78P0h8nnq4v6JmMXmibfI57g5u5E3nULhNMtkxiXSGBiyAAnMZFCz
FmhbUS7rIh/f7ZHtGkyh1zUo+T8RFb8JMb+dPdu1QAPqLP2G0vL7s5fgKgA0Oypc1wTQhyL51EMi
uvS/SwL05iFR8dcvV/s/kX6u38e37wvwByZpib2Bi/TbX5RlK4KYhNR2FIqgVZzvLUUu/9//ke+y
y/VzcU0YCLGWwz/6N7G0LSZTSyTburUyODTKNja8t3Sf7n6CBMBLoeFrjRSAYnbyASXgW9mzkSA5
TrjoijjGHduFS/pMh1xkw1ALEEM3QiL598d5JZ18PxkGqhAzegvQoPPtMEei52zTE2prDPJUlwx0
IujHTGyCZWBwWL1rx/sMZ5Hhsbv53/9t+c++CYPS2jJcAyqk++2bGPV5wMuRquuYcMSTy9aEqJba
AyhvfRXP413N/sWVO7Vsipgdx/jivqofuyAeD3NRmRTCmQl2IxreTZ26Km2XY9AMt11cDXjoWYqH
uEhEom5BF7jeeSC2uCxKo9rg0arfOC3YwhQwDTaiP4cN062J5U9OP4VrXZbmg5301jN2VWf57z/3
H/bOX68N4D0Okiu755BRf3/Nd/OMpzku2e/FMo0xLp6jOH91UpFfPR0fFVlvH7tvRpq0vmtIsKxE
W38ZkXZEscDSgnfMryXRRUefxZmC3PyTAzSuj89vVwVXBIIxlgIp0YB/f4AWRHmlXzOIEjo0t4d+
a7BVzp+z8j5wUrLgIzBJj9KQEqzf92Vx6b2rHBPBXNHNRvpiVA/YsEK/qxnxBE1O6n9usMQiMt62
4zVObrrjj1iNf/I0dv7JBW0yPeDmlp5tIFD//tBzXMmN6QUwGwxvB84r9KM+/AzwkPqzYDlLfT1i
KYbbPOwMBAnGfm3ooKZ0s03ja4SshuzJ8VWu3S+x1dpLjpaRoM2Wocb2PrTKcIEvonzJoQpfZeYc
cZS3/sAWXF8Vdb+TjVeckJMftaK+7obOH6LZJtyr24751EqR3cdxDYuFLafyboTyQlcLpLyKixcx
2A5BJMXWEQy8tu9hs7YFmlg56oNf2t10zLP5mvRlXYNixO83MxWqTtmMObViyJ1CmXEIR2J86qtH
uzbrtWjT2yBMo5vSSVlvZKifIPWJc9n2ezahxUBzU+sCO1R6W4Vw19PWva5xZ3scExruNjx/vAWq
XdizqvN/c3cmy3Ej25b9IlwD4HAHMI2+IYM9RWoCIykJfd/j62uB+V6VGMki7ZnVqCZpN29mKiIA
b8/Ze20IQvirK2e6LgQR3ArhECdb2dxS9GG/lUL7ny9QFm9SChMcmgVi7uP7RBTSJXhkix1llVPb
XWQSRyVrO6n1SX4h4vFo5t0PbbZx/89nqQWDzbQVpXMHIOPHT/bSbggI2Sp2xPW82lG5cSrx1mhJ
vOJBzAnrSJ+6IPwRTaKE4J/7O1loMIcc8uMd9IOiaM1l38XjE7EOgb9IOJR8/RXNM1jcvMlAVzQA
Ac8IrX9tMm5sYGUVKbiiDK1RARf1oiyJH5F+GRxsIkZvahKYF5HJbZPcxc1YcRKRYYX/wlEHhEst
bfjK5yo03UR1/uhzuds0tHjxUhIMVUXPqIHan19/a3nWA3n/1pL2kWk6NhQz82z5K4LepssblQga
SGiG6O1Q3aMkWBGju0FFElxkuaO9+W6GBlhVqEGicLokzSomCDYj3aonMG4jzRKfEYVX9E/6TYjR
aij8PaKb/G7yrX3VUkJz0cuWVDnlBHc99VD4yUH0WM68rUoHYxllJMAFvnZr+vaVO/U/LOq7yzT1
sEXRgnbG/oXU+fX74iciCYwxclsc5ESiYDJAY+fhAvZdYiAC3be2nYvIfwlxcZ80eAPCyLosgQeu
WKv2rk5/vpmiZ1paj6gZrxRpK/dfP1nr7Fj8/mSpAHG61iF9IbD5OGRBiox0ReguOTCHSvRPXjTe
G0PsnyQHj5WXGEiLdGvd9CZ1aYJMcZeifXPS4nZoyfTzqGBwqdVXVhAj/rIwT1HhRPvAwp+Z8Bqa
InuGiE67XBsprs6fosE6sjI/IZKEP0kKKuqaf1HJ3rwYQ/WY137++P6csV+Yq96sHgw1ql9jAVnA
D4FXRLhfJhtXBvnm4dYj9mFb1UX9TcPP/GTUSd3k5sJSwrw5P+nohdvVoG/zXajqmxJ2mFFkZMb1
ZbPqLeuJ6YW1j8Og5VPh6oJBrpJOD9cm+QSrQWtqxPGecSlCEGVlsSk9n/5OcKJXiVwBCwRlTFGs
jTl4MstpvdtO3LOpFFfRoLe/vn7Pnx0gKLyABCdpwJzB4R/fM46UzukLh6VJM16prje3QNGMg4Wy
hZhm7d0X8lYHPUkHEZn2QVn9ZB51DUlmzIamiSk9RJjXe9bbfTjC+3ebkASDr7/mO8Hx7BhBK1/n
pXP3Y7s/G47WqFPUDNyCxHiCmXHwzDnfJkUhzUupZqECzSj1hLRCb1Uo7nJ2MFyAhODWTgg6YcDT
E2nuQ1OED03v2ytZxRluL8RDwMXMLZ0bkibjFpUVl9hFKVKOd75vzpq9W5zMyAdglVoYqHIdvIHq
LH//9S80ziiq3Fs4utpsT3RYWcjOTxuF1KlNOmi+db/eN4x97FtHx7fvtdL+PcTpFqbujyixTpps
vzk9n2OE3z+bkw6bMHhd0hjOllHwrXZNDynZAeHYB5w+Ir1kCLA+ykG+UnZ+ju3iLtazQ8RqvkiJ
s6sy8d0WNL/Dv9/x/ARcwTHWdm2uwNzrP9x+C/rFoWYzrcY5rNrM5jqzbi7CaRwo6iegyk39slTA
IkoErhtfFJz6SJSNpLMym/eCtPCPjd4QZj0kah/iUN9Mimi+vOAneeYJtTH0KLPEtDEYqyQ2Dl+/
RPN81eQncPtBeMgJg878+UvkWjBSNqvynRZhnWmgAP3oWegXmkzGQ48K+tKusaol+DZW4Gb0h6bK
p5d0hKmDXQgneWH9qP0A3N1Ec0JCrEBGVUocQvUreTIkNJKntiQHpjuRsljvIovX8c1vOF/d5t8g
OAYw0q15xp29hlYZXl3lCCkAUiFqx1v3qqnppoCP2Kche+OUH8qhV5u+AdXjo0Oiw43JLTAzDHOS
U2ebw5F3u2UWTMOCbpa7w+5EO8vgFxJZ9FZ4rO8e+R8gm4zXqBPrcYqHlZ59dy08L+7MA9tlTHNC
QPvCq5kn3V8FlVTHbY3CKtthjVuTwtNcmK0nr2oNR1jhZCjsPdozFH/srqGKnkJ/IU4TfW0S0i10
y28m+Tsh9myIuxY1ilkuAkD2fSL+9X2ocJGGbpTZDvri1u5Ln8Q+O9jXLY9nMJJflsp2pJHQ1G7p
7ckMyWeFG2ZPAuVdUIi1mzcPeYqIsw6SfS8v+mnakPB4HSA3WXC/JK80HbVNkCKwrZyIrTHefj08
3k/J5z/BpZnIbRMBEAPk4yOtzHryaY8mO1I+AaNMDamUJhpEt/PgslAO3tJeJkRuZqF45Z+OsGtt
FrmRg2KtBlfdcOMQT6FR7cPIUY/tQCqmNNuMRmLaHwiYn2PARQj+J6qvVNweldZixNG6zSCTrXC0
65I1gP0wWJE5vgzJoXZkEX2zJP6jD/v4O6l+cnFl/LguZcazoZMTe0paURDvCiQKCAXUoxGDPCK/
x9yaQ5PcRVOKETArI8B/mt/BGkIhqEbrleBtsNskQp9EWDYEvUAJMA1EsrkH+QsrE/ndufM0mjjV
fC2ssE7QyuiqiAD4xH+LJuU+G3oa39mpb12rCF4YhtRiNyg/Wo8ZmK0UtP4O9PuIczQxQDjEawzN
J7yCHM5j8LOGSm7SashPWhXUF5NZH5uhzrCCdEBGO6NaQ/QwD2bbadd+VrwECCs2GHtj7kOFjJEJ
VM6z3VZrKQoXGe1ADmUzGjgHq20b9fg4vFczMVlCcVYvyx5SH0r7mE6xY28y0aC/UQ5GnrbwVjl9
yH2DejMspFo3puM95vhoL5VL000V9T4YzGSTmMC+g2YCu5hT1mp1q9yGjYQZF4XioTKyJxHpKFbr
qjyltg6pFGOQ6oP7uHTw2zUkeZcj3iL2BYAz8JTqpF+ZFZnKGH/6nI4rbXoRH7PWci9Y/IHZBP4g
QHNGxrpQnLxs2g8Llt6B02xKUKbUhPhphcOzFUVvfRDeEoI3gteLZL6qZSmQJ+UQJsQP1NpENTQC
LOeorPu6a+WlTolpYWg4rPJRZD8zjv7LzIeFqc+nOt0z58x4JNKRwW2+oS20sdH50wNtcEo6MDGr
xtoaGlLkqUWgSrLeU1WK+KYe9Lt8zK+rJt5zw97Eo3CWBQ50LGfxC9ojubW7adrCEGGo9MQKB+WM
DQltZ9WR0UWRqu32fZtHy74mYMgsoz8prZNbu0VKreFqg+9Cc3zU7W6D0ai7rGhFbmNXsw9d5ZyS
zL0nMePJCHQDr4FLdSklYpHjYXihN5hJRuHj9yB7c2EPfD+v0sifEnZDTph1Y7rafEjnful51S1F
8I0ZM4WRE+NuSqYNVEp3m/jzKibtepGX7Z9RA+jqNQnmAcCnJ29SGfnuzZMFVZyclJEqTMY06HMn
ueClDouRLNNLJTlDDS0d58IXjzW5a0gmYDAd+vlR+WBQlgmVyp8JRo9NOIsuqjEtWfrxTuWVbl6W
Pt48cxJMj3edRmBn7dqSuc2ijYKjySroxL3p/gwZFPy22Dq1s95D5V2ISH+Avcjvv6mB3SwCMCU7
eqqQpEBFo9d2s50ZyeSnnpAOWPlWu6+59dyUddGuey2YbuxZaeJpQYxJCSyQW/y0G4ECSf+ThozM
qg1JBJxTNdzyuTXKds1XjrYRMd3Pie0fJroFgZ3fUDJmVYrxLjfTJeySB4z46nJ0EqZs6R09P9FA
aOAVsWJ/vJsssPSGQdXJNz1rHwlWLUp3agXHGN2LskuUyeFrkuInN0v4lS5iCZW49410aNXjXV75
fh4u4lS4/LEFPL2wwhNaYNqsO634U9SQnGI3rp+KtIAdFXecXWQ+4hNCbUNRKwIxk6AOWDmZFwL5
KaZVNTqXYWMcm0YePW3Y9CnaE0+6d4o3rwD9viGFtg4BJcxl4rfJnpiIfFM6bXUaDeCfRGOFJxsn
COGm5KDqmXlhlYa9i8e2vkblJt5iM9lXUst4WgJMXM8FRnEBWvaouxZTxDgyc+US5loG0Z8ILRaS
/sR7tfVavBB6WgFyTlHmJZq5s3I5XdVpywWldCf76Dv8W7Qmg8eW7XrJbBa/4hAwl8zKFBizmVdv
ykrje6OMhqOaIA7LOEo2thaw/FRzMkuj2xsz9E+k3v5MTAtCSinaW/J+0bZKO7nPwljtKtyPdVc7
TxppMrgfMToOUT3tg3agh5VkY4HV1bJvu05pl77TiVVpJNkl/bjghDPVIOsSR0zBlWYM/em2B3Cy
yYjcfoypfqz0fiwfYpkE+7YytTf86t3vYkQLk4i4OtVWSWiNniTVAFgroSHcBwYebiHvhGqvQyUQ
4TSOvfcyB92BLemz0/lRy5iIymQxOEELINf1rYvUGMefYGgQajii3AiMSQdaZPo2zwnNHKzxkEoF
GNUts199lEDXY9uBValHlM66/tKMgCRRGa4vwwxeNTG8CPqnTLzGnNTniLcnUtH8yzFqo1NG+PUa
aUxzNOvhoPraXgeSLZymfPLgeEikjJBp3kmMmKNRE9I62VdZZ+1Kw2v2STLOBL9o9j6a3oYOWb3m
UObRaYOlbAI7yZV/ZxqZuhk9SryhNww7rdQZ2EgPL1n9tw30xKMLShbmig+8ZOnYU7eHFjL9YEy5
S6w3vBYvsXcG+bCPZilRNTRtumfIzTWo7mI+LKNSgrsi2el8cpHXIim9BxsjyDVRfyx4Q19UC1JG
UJ6OQb8bAXDi+dRjMDCATZAgrQZlIbwzBTyULBY73y2yzdgN1hZiQnFMM5BF2AjRVaEHZm+EEFGl
0MI900o3IpECUSiaxcup94pvLoPWfMs4P34JoNg6V0LL5Mz88ZjZwDUwUs+h+crd96JrXXxBOPpl
02GbalNrl5spAiA3J+Gmn2nWpQtKTaoI6RdoQHLvGF5erFs/CF3l7uEHt4Tbyz2nzObJs9t+Ezl2
n62DPhx/5F5jrbxprN6aYpJ/vKhV9wrKer5QxC/fmnXWDozVNn+qXaiSbaTAsFSivB4jT+2KOAFe
UcxmkDDJT2kTrAMX4JtlqAEG9vQ7zCXs+hihxNdn8Vnhff6MaI4ryjaSLrp5fkRti2oqpybdmaYc
F4L/dNXncb4uYNR981HGeTNEche0ubLQluYGQzvk4/uY2g76Vjpgk9fqdJGNVbC3yvKl6eNgCWRz
xJ/o97duogD6k4XqdhbIqxJBdYXFdaml/c6Pmz0lBez7YrrTbW1cxURIgtmF3/f1c+Fu98mTcaha
mobkpKnOK3SqSmtHdMQyct4bVkbTFHu7bCL4GTBdwVQ8SbB0B89OkFYqjqZw/tbCoDCvp462tpB8
rpRerg1IuZAtoJ5RGxLBUsiqbhdBNnsVfaPdSPw5V00n3D3sQu0yd4rfpWSqxIXX8w9D7cpn373Q
kCRCM9PHP3Axo2Mnh3WDbXRbsxxCgAEG/IMtgUuCGEZKvzgv0RwXvvdiTsg8WysNGVhg+mzKhke9
fS7C3DkkOh3cwU1/6VOjMU0Di746qxNrUnRRGdERAzYIUb1+ohh+NDMFHkPXncvOqsv7iVPWyGQK
OZREZrJuZYdwmUCaFcCpFi/uzGhwpijErecRKiyn7Nofw4NHL4/lw0bHa4wGPMYk2vZ9ccipnq+1
3oM/XFPuHO34NUyT8i3186sgDAykkcZbng1HX9l4xkoABgTOGAaBr0L2NTYj0PoRbGOgNNAZ67y+
KEb9SsfIfsly+wv4pLixnAYiDeG/SB6CYZtNhYkUwfbehDLCrWiG8TIsiu4yki6CaQkJoNLg1CQU
po9V6k13mqy749TM7W8tFzgTBP1QMeBYHWmQG630L3pteEmRp9NUd/eojqpFmiYsP9ynhwqcXm2K
374g0cFMHkqbiNAE4ji5zwiK89YHpVX38gYhWblIAx8+VQ3Fom6HZGnkWbVEmObCxrRxL06tthC2
T/6zAHlQRcbvKEzS31OhiqNlBtMF+/a05EIzEcTQy2XAUF+5rFOQ6B30r266qGIIo4PsuQQLWgNf
z6H3mt/54kJWHGVhPD0WeXEfJzxRZlmACQ8Kq2HFt04vrSdvyjHMY4IBFB1acQw0LFiX2ZBuFR7K
SKA26DhBp6wJuzhDdRdM5inW8Jn7dGmIpOihGFcNkYMxclOvmSDKthnW4/gnzc+5XYo4fqgq5JO+
W24MF+RAVQ4nt+2KRS4HBzGBXy1GpRZm58ilW5UIBsco58+OC/vGxrPNKSVxTqyLYkmO03TKkiba
VlhXwPv1jKVCbCcTloFPcX5Xem28jkT1TwQqci//d379z0P62xH0SS0XHTNlfjppjkG15yx5iY6F
ot/bJLvC4PpS5D0mUuEUJ09zyfPoQZIHQ1TAL2meCq+6nCsHX78947ydNy/XOPhQYWBNmtUpH99e
1vh1Z2vUUfPJXAH+/pG3uJLD/F6F8Pyn4EkT96oxVjL8Q9Pkm0//ZK8wdCHfNwy+w3uv8a8qF1ac
2jQzM9lRDowXsVHAxeDr4u23ul2tkflSq3yl0gzeFUSNb2RA/9LL8Nv5eHKvaPYKotzOtirNiblR
u3w8OMVwHaT6Y407dGkUJqLR4j6b3tKGFQLZ0ga2H+R46FbO0lOes3iXQ9nY4unW/25nRmFjie+2
0k82JwNuiS4NqvwI485mFioQXS84eO+q4Vi2DeUQBdxmzqZpO0LlkXaj6X2zSzZHo1DZPelC+aK1
7Ne2BWHi2K+O+C6j6Vw69f7IyM8kSJGGFl3qj8MFlVk/pE7GcBHJk+95j90c1elGNad3oT8MXMO/
WV/+1Xg6/8izOZLj3EAcUSc7Z9TurbEriJAYfk+D/4vgeB1hQHaNRecec4dHJQLOY+UYN0Os35lU
uiIzaq6LHkp/aTfRHutKuf56Bv2r4zR/P4MyPrOIm59xrrqqyrK0O9tJdn1VdIvQq6y7sWlvA8ZV
Dpd9P/qAQOMhue7pMxPSHN1MTpY+W75hMOOVdhMTC8l+QeI42ePxIsFJgxpL97f65E1LQATOcqoJ
/sm7Ru6rKqpv28x1uGLgtbEalFO52xMG7RFeIhSGdhWp74QJnxRz+ZEs8PMqb3KKPOv+QVgNkszI
0l2VBhdCwcd3MkXRLSmoP8jriC4ml2AY35HnlKs85yg3UEda5qHn829Bqw41+dt14uQ2xphxyIR1
m9UzxcRDzW8lQHQkhgW8ELaFW55rN32CBuxAE0Yb0PU7/EwAuWA+tPsYrk3VWtNj3aanGVH29Qs1
/t1empWVNAEcVGJoS8+mHfcFHfVnRKeTXJAVCzPVqry14PBrzdUs8eysaXgV8EnZVDP7QKgdrdjW
lVsD8ZTsbLJrOb7df/21Ppt5dNkdR3DPMfTzMjPGHt8IDbvYdZb7OLXOE1FXw4NXFhQ0zKBYWvGg
vpt68y8929rBWukCd7SOy/N8AQq4G0WJ0uHCy4hmWmlmi1IW05bbi7YZR2+4eBcdBE1GqzWuiXDw
XH8nPDiqk/P9i/lsPaTlSUvd5kmo82tMBz4gqoRCImaQGmU5wGP94ZeMUBB2RasDlLc31CTiRyOZ
MKAENMf7qHyummw3Of2wJsUCBn9SBt+MmM9ejY26jreC1Jbov4+LolcL3EO9pOesKLIgaFxr8eRt
3BwtaUNw4sai7vTdu5lX2vN3Q5CbRfOQtDxkNh8/lDu8EY8Z1f5Ci4AtGsI9WI5/Y0xNtWWgcspO
tEtK9TcmFDa1fP8eX4/I+RP+9Q3oAFpcugkDOB8dwzAFld46OZhTyhPTSGqjz7X2vackPEFdtoVr
lRnm5uvP/eRxm5w0UXEqAwHvuRJhQIIUc02HIqHhtrO8rr/K6drhBIYknKr2KuyMbz7ys4OaCdt6
7nzjUOHTPz5t30vTOK8QXHMkZdXtuetHdUQtDN4X0p0N3atmhcPAWpYV9wnsTN+8709/NIpRvsWs
4XTONt5hKEDY+wWIsRHgSjk+A8AQS9WGz52Kb1CEZNuvn/Inb9ekQy1QGaK+IZPx4y/W2AdyYfXF
Lk6oQ3nkc+zqxkGdW84hNYV6a6eovfheTfnJJMeeKGc9v4PA4bwzblbg4jyfzieX/mlpwDndI0u2
mOFD9c3x898NbCHo3M1VEaADPNWPPxEbtEEPLaGTqifTsnQkWRFktvlScifo6Wp9/UStT94hHyhm
AYVF/ex8EEHpCYyuzADHu2Imp1XG3hgydS/aKb21xjg6eZ3tbuMwggLXvGk2KkxLlRo22fhnSTRt
NJ5SQ02bAFHRLgM4VjVOf6NgTK6THHqn23Lj6Sanuy8sUMQxOOqlbIZpE06Ov5ByUBulwM6iECQ1
j7pFJ7K3IQiyuyyajr0cXgayT8Ba1lzoq5qbv0ELbKMXsueACyBVNWDX9Rx3Qw4qLw/7/K2WOZBM
N83u6C173/TBZxfJ+RojGQx0wXQqNP+6IfS9pWv9ECN20QUBYWV0VSt/FTHBrfmBzKV+PMinfsqf
i8LZm8RQeLNuQk+hRwX+xqaG889q//+G5/H/tdNnrpKh2P9r1P/L6LMMXpom96uX9IPV53//l//l
9DH/Q6gjLXrTxr+ii7lm8I/Tx9X/I2cH0IzIsAwiwvkn/+30sf4jsPOQHg6ohTqyy0Xgv50++n8w
VaBJna0573/i/8jpc34n5qxjO7ZtkRfPHuOen+iNyGDo08TfGWDvDtzDGxD00M1l3FeHWInrKuy7
58BwYKlygd97WpFFS6Pvvzt2v9dO/t5i51MXAkLWQgv1IKklH1eojsC8WBNutUvD7vcA3O7asLLi
Ksum8B6Um0W7OtuaWQzMsLLXYYuWf5EX7UXc9fKbDej9V3/8LrhLkD8InvR7hPfH7/J/PCyRCshL
8yx1LIM423RdAFBMum9hzxUC1dSYo0/ywvxY2sqn+vYyWZ25jmVuHbWJ08DYD5SFunG8+2ukXf/z
VT5UU+ZN+OwbUkOZT+0KIxn/6+M3HMo6NrqpqXf1hN5/4eqARcloqrdmKMSBbiiGmEHUyyKeIFwk
oY3x0Oi2NukdjzAm1TOuF+t3rHGb++7h/VvvxaaG50WhlCW86vzeDBehLFxKdrsY9MMyk1D1XRXm
t6BymwcJT/eumkbvp28KvMN2WLwQS0EaDEv5Q6yzgOsIRr7Zjj7Z4PHNcTmZSwyOc74bdcPkTLbG
qVVvNefC0NvkSqf+vdGDrFpEgB6aReOiYTZCgCnfvKnzGcadmcOFwTkdO5StnzcJsmTWJjUcLqAE
LXu7SX5pgW2tbL2k/s2dAgoCju4qaRTQT5QlLVWGdVFWwc3XX+STApRp6Y7CkyVYkc5fS99VRCCY
LWCCcLoZc3sEntZJeexMN113zdz37JExLCp3zPbe6O2+/vhPXgG3GbRR81NAScdi97fqDIFGZHYg
S3dVMxknmc3oUIXo0I0gVoL7w/qQaZsobP7Lrfp/LzzOf/LfU4UXgFUS+SRryly4nafSX5W3WAOg
Z5TlzAQyihdBhrJbhLxwnHlXeTb6i3GOxnCHHhRIG3EqQrLTXbd5J4+Djn7h6+cgPhkP1OBQ80Ah
cJQ4fxCyHkissFB05k0anLQ4F0eE9MQQchjMLjQEhousA3TTuOJgsLZtNPS8WNubGoipH2VvfeO4
W0QiHvojghFNa7JI9urmTGh7oudWkadFXy29yey0QPAPKigJoImsHRaqtddPQ7KWCNZLZC09pANk
I8NwUcoOnIk2k2ucunn4+kd/crSxmAOcsRkAnG/OXoFet1Jv4NPuAh9dBab2nmAwy8ivROgOt19/
1ifnKLp+XJ0Nk9IF2dZnHyYCgja6Tqt2QVnCL1QIy/Z5WwGqAQIkSXkAuuNfjU4Wlws9neybsNeH
6yQdaww3bi1OI/64aokHiBSi2rUSwrIizlhff833m/LHYWm5lNA4H+POM3DDfRyWgqQRqlw4GKcM
lmNnNC7RgZH2KswBTYdBngz9Gvyn/uAapzlQfZ9hAtuCXEAs2jh/IIReSyzzlzHCxu1gqXSnCjor
qQN9DxRvnt6l6eQ9Ry1QBS9usm3r0jPxE8P+ZnWdH+jHX2LjL4UuhppUod8424tGr8qbcOCS6tXJ
dInzQF8BSrF+ff3AOPd8+ByHDis8FB0rIzA1m5rVPMr+msg6XE3Ppt+ym3SwMeUA/akRuOIXMJHg
Fqlg/qvXVvvJnwgxNegxLMIBaxbmJmc4xT1QoXRE/EJnh3Hv5sKA+Tr6M3E8ME56l4DQcduBEL+c
pITWTR65aANUoMzZSG2D/mnrB9WfWhpEWxALuUQ8p2fJMuFzBaBfqgIhcnwuyGsryK6KPD9U02NW
ausaAsMUkSuOmE/HG5sRJFCGxZEi5LQvqISabvSqaeaT7j+1TUH7zezVLu4lCFHTf7OD4NEhhpyG
99LN/MtKtDdNCD2VTMymgeDhJ3tQbr9rT1vrKTqYOtpnpHtLu3t2ECF1EMVpQCxC8mxCvnfs0drt
A3055MabDvxhbSF5op2arTIsPMvakj9bI8c1N6Ft070VHeWFmpztlAygUYL6hADJ34FRPsJDumvD
KeMqWSx79vmllO4Tq9gqit197lm/MAc+69EzYpxF5zi/SpkecBEcR0hNYGiftZCGeFQBDNP0+3Ya
j2TW5Vup+m1J5laty6dO/WKNm6kd8kqvSX9BglHnxL+aUJxVYR5Uof922j+TKQ4tFzlnJC8r8LdJ
JanNyT3yxLXKyN12yVxCHPhYALAkErXeTn2FMC+HfZ7HB6M0bkmd3Y2AOg+t6DdaYKHioTekI0bx
Y/Lg6rG7AjD2ZxCRTTk33qdojaNR+9lO9bZDfrm1oZLQyXko4hpLKQKgyC6X7ZwNNBNhhYrWQ1o/
T8S4JKDrIWknLPyVtulCEBbueAg87dXztK1VnGryZPwUgZkLh4Wsokjbx3YLAUuCpr6z6D4Ax8Ap
1BJwOgAM1Z8JcGP9T7MfkxGYUJ3bA8EkS9ckrbuttlMuFzEK82U/wD6LZ0N/Sm4vGjdQJmpuJja3
tDwvuyI4ZkW9ahLUl8pM5wxC8nfTnlAQlsF6CB6iqbwLWx7IZJTbCe85EK/fPfwuzMA3Uy32lenf
mlZ5G0ZcmMPu0a2Rzrv1q5hjr5h9+aJ26r2XGwscyr888VJZ4W7w7DsWS9hEJMwkgXNsx/YiaLud
rzwi8irW5DqpCMskEo0Ooav39yjsCBSQ96B4KIxmkizdYoEcai0DZ9/4+7A2u3XaErWVTXvm5iGz
+P/75mdGRWvi4RRlfISEuGid0EVXW/YrK9eYsCVdat5RHoh0CVSHCU9nzq5wLuN0RTiAhihaZxZs
oDC55bdUWLlA25aITFJfrGtVNGj4cuQ2Dtjogkxi/HXEbSt1l9hhugSMfEqr4rXT++TRqcmrNwXC
+3Hv1oQ50OznMV4azMqlyPxhFzVkwHedTdYY+sDIuKQRnhJZQC8EnNEy9yHnEDA63fW6tpBBiQ/X
3xEq3pZltyCkIEcl7C+QA5COEdxE1vSnDH7oWnKgD38zNs0Gwd5TxMrggQz3xvytr+L4h2HjbjJF
gBRjso09A9Yrtk5OanGVXEWo4YjYrAEai1R6a8Jv6/s4GMXeaaLihXwo8yryA77mWNO3W6I7a5jT
fZO/yiCJtFWOqWAlRyPYOPwpK9DB/rUuTH9tWA0c2hbI7mTlhIyVw84zjRrOAkqzpaflyR3SD+2X
zylz7RAyel86Zn07dqDjpjj7oxs5aeSjTV1Y058L/wFmPXGX6CZMLmvt9KIPlbaXkW4tmji3T4mp
Teucbtu9nKpfrmeHl0i89V1d68h6LFNYD0w6uPciCdSeMmhYzqczB0t8L34mxuSg5IuSKz8oE7xY
4G0ALXjafZmPIYr20pQzMV/tnJZELqnoZ0izLtZIdlnUMJCODRHfvbz28ZvjFENAkSV1cix6K8Mc
iey8WBZNITdNUZNDqdF7WkWIILCL4NC4zJPAhefYet2LixyaZkAnA3LG+p/kT8lXUpChEeMEGp+r
wYI4HJVaSzpPHW9bTyCccypcokZizZmtXgIhQU+6Zy7H6RvVJgg/4AIvEu4kM/i7JTCkbS7Be9Lq
is24wIrbBy+p5d3hZH100wSBaGZNrrWhwExeX6QZw1Xdp4TjDIkLZgCNBzoUQveQtdJa2QS6Xi+H
MQQBPJnW0sn1/Fors/qCFnT1A4k/Kc2VFx6cxsv3moDqkaWWczkX4agIkJz4HJVWvZ9qNyYymzCA
oO+e7ELFCwWw8oDm8ldUdXIDi0zsWkX0gE671BryF7tBJJaBz7nD/1zdy8gWXKZxHqNBRUSXV2l3
StHcxwQXimBdG6pDPFOar07q1zeB4PQIqT0+1IBA9n6pogdDMzRMBGZ1oRMbADLpfvIIWmvDvjnA
NUH1oLQ+geKFA1IBZ1jntBrWYe1NwTKPB9LK4f+GwaZqo3HjGaVC0BxRzERkiDfUb7p2NviRIMfe
NWc3O1jcIXy7JFyVbBnA2Z1XYsxiCA0WWHGcRst48EhCyyBjFJOTrmI0TmRizvhoO+gug4DQAHr+
OC18akP7aTJmL1ipO0f0h9oyC60W7ax0fnZ9lD5YmYPqs2ihmTPcjX1aRYU2QzaSu8qtadpGnEro
4/6ohrHYDkNo4EULsj+eL/0HTVf5ayDC2eWqQq7abutvvMKKrobJKy4oXnIcAY9JpcJUNqcIVfL3
NrR32ZMp7IR9cbJdQ38tKuDPGUaFAwnH+m1tJT5nFc1cd0mf7ceCsBGrU/bCrUCRLnssWrfCaAdk
WsFM10JDQ7m7OrnliFnbNELYiXbHWiOMOGVp111tLWoL1rQaZHvym7q8xJjkXEfKC14MWQzpxufU
FGh5/bNi+BIY6kcvTBP3h50X9Z5VpgaZGDe2XKdl6ayglamT1xK3MaYp2H3fr9Ua2Ld9mnBZYRQY
Q++HDS7wmDtm2qLg8Uyaipoud5kvjVutScw7EHeQArWu/g2mhp6/OffLyzRMj7YCfL3Q0ia+aPHU
H0s/B9/ol1InRN3x/xd1Z7YbOZJl2y9igvMANO4DSR81SyEpFC+EYqJxJo0zv/4uRnZlSh4qCVkX
96HQhe4uZEbQnW40Hjtn77UvGuJz0fMoy0VeqRbxJ5h/r0YC+c5N4qAOYxpBVvX08tGYVPWs7ef6
XNdtwh9Q3NV3BKNk7lmHFxIVb+odO/IBoHWbknzASG2PhdKNZzhRz2JrBEclMzlfubzIj+AS8YTD
tgtaq9VvuowNMRFteZNifAImOU/G56FFAVWOng0Ba5JZYNJXZEesRqCNk/Bu+6GvDnGpAyaonXbL
Y5hcNpYHdMhCgLC1nMVbQuQpw7xHzauwCtdiKRvs5NFJIrb3WVe7PQwK4+jWbnUQeeFkwdAK09xP
pof2FDWDthVpAphLImQkpW5tJz56NKK2ENTLjdcz/GnlYdbin6mbkQ3BKAXwY4y4lpmfoHBwHXYw
ur8BdFTvOke/+wAKNfqiOv3qt4aFqRTFDD2eEBFYhwhDL9Ej9s8eMeql1VZbN1K7M2uu9X3Xy2dp
FPHnGc/ntipwRUuz3HEuwt6SteVRGdvhYsingddyPp7VSuR8konebAgEj76kjQscNlvm7p5j6/rh
es+8SEREuWL1cMImT/EeepECv0/1WuPI5DLTd7Uq9EiCDQapVpd2syRHaeck4pa0yEZ7Ko81tPed
kVXapZY38QYEg/kTLZsehWMxO+ALtSKziP0b4SAXJMM7l3U8oVCsEytI3Ni9zqXZoCiuB41gvUgP
G8xP3pmeFJw8siIPHRA+CISdFHgHmbmGYLcvMdZcoTUgEqXvyXfEao1yqtR1bxNpbiqCAhbjpvbk
QuKbNuKVb1XCoeRAdlCMLlVMHbke9Xx0U4KitIafIE4nWiet4VEIAzwN3MFKO5KS9H6v89TceTpZ
MpsRGffzNALEbThaL36TLbzn6sED37savFGTu1duRHNFTfE/lLpxIPRaf4xsF8c7uXswowAr+rWm
R3exnlnPYGMVlLG/yMsjOrDHBpbVjTbAbG0RPQKQBVlM5kDEGEdQO+IUqkooRmYhjSuHAxRqvU47
RtFUbBCGT5uly8lbWCL3oi3t8rKKx5YqdPxqUJmPoUNM+EU2Nw6nM6ze82o+czQabW48mRdAsAis
snhP1nVMV0SfRb0G4pIzCNyi/4ash7FdVHRf6S1f2ISU2n5Uxu21USUlB6NkOKuxKI0Ylqb5p2RE
wjFttqWFpq6hpJtigA6BNgjz0ENUPQ46pKmLaYaK4HuCphd9jp5OsFTmZ10fvD9div9oZvWpKvjP
/7xCyP2f/3k1sPqvwtT/Lz6Oxsu/59Tfzbn40b0aRf39x/6aRWHd1Bly08iFOm/yF/41i/IQGCB8
YvSCGnudzvxrFmX9QTvtFwoBfBgOmr9HUSY8OjSdNK75NygJzX8yijLM0y4hQh+mn5DvmImjAzwV
qLcNs+F0JmtjWmZg1HTd7gehzmeJlfLmHhBJOxBjtmKMlUC6c/RYRNiW7Lpx7km+7B8Z9+JDqDkr
x6VtIeLh+2zSbiR+ordJT8mK1A1ERBZlAw9+S44cCUdZhxZeNUiiTDlaOaOD1V7TgdAq0T6yl28L
llYUP7XbX1E1ciCu3OQmm73FX2TUhk08G1dtax/HsTeCajIzJN8OcNHCnG6safEulZlkanvqSXEs
Jx1HxWgRbJHQFyAIFXmYrrHR0M4YNuRzRk+k1hOVzQ5L8lOZjBsw46Cik6F4UFWgDLwW7ycVUtDE
H96XXsFfELfTXWy3D/RHZl+mprvLoyW9dXJp4PxPIxHMXX0xMDrbiTL9VCGmIZFESfZmqg1HWzHl
VZlo9Ra303iIWqTvmsKERLcUBTDTVG9iVa/xz+hY7Ap4koe0qZoLSefnPCsic0ussnNwQA+QTD+M
xcbCQ3BnjQyttxhIvfMJZ995r6o/K8bun6zaWwm2GucAnM9agMdz5eLFU4x2yB2xDjU2/Vo4FUmR
fPaw+m9jb0y3iyOfbeLd7ky+cJi4WuN3JSQazSXAPY4JDaLXquGbWnp+eatC72wZG4ccSUfNj2oV
J4Gsl/xQJLCj8U9T6JsjxsmivkwS7owkKXcm0miHwwfeoT2lRF4a+jOv7WgzCkVe1swnn91FG65J
rpp9duQOKZg9XsHu04J5tvkrgdyM1dAcETZcS3eMtlnSpF8Y4PWf7bGYLqqSV6CQCdRksp4XITZa
PJdbgrmyrWcQzOPMXyQG2E1aNhWXcNEED6hfHUXvN4Q5d+e2iTB3ygdlqxU2IJ6FiPpFDlCHJwSb
X6Ke9W3rWnalU2ittoJ9w5TpEHdrjqVn16Eu7PZLPOWAl92WqO9NZwzeRmvn8SZLFShjqyDCtgrC
/GLSwpWnrrWs56abf0RjddXJqL7txsgIZmz7T4jXpp2BTXsniK4PcErLHcagyje8dMCZ1UdI9izS
gDDwfcdySgelWMWEHs9jjWVt00RldEwzuPsLzlC/7lvYu61Mz9vFbq6FPjGgIai9DjTaHrfYQNKN
XU992PNZI7orEdPpYYStlZjdYfWG8Hfj3IuwL3xPoOutQevzwyKNdquPYzrgqychWiGB8qw2ZfKp
LEqNwyL44529dmYR3LohCyM/Tye8mbokB6esKYIA8EiygW3+bTzy0WbhuB6K2XLOBf23xkfXzLh1
jrptoTnVRdQMWhZSMZbfFZP+jM9RqDsqi2OhJenET6vQUfSapbGZDAhzTTM74Yw/J8A7SJhf38Tu
Nm+n9qy3chK54ySnmalWxHWIhfzLxtniX4aSwETvaKNX4fyiLwRFNwTsKbZxRHJbhHK0i1vNiD/T
Grmjo2PvQClfqrWZ3UxGgXyWWEmcxEO8RWtYhDYWXvpU8MeVhMBqO3lyNHO1L3b6V692mNLi+LlJ
PcbvTYpENZ6ICSQ88yGyVrtN6d7aMbX4jEmOKjw+F0Z6sZBfQFrFPTrSg0atH2Jchn/mQZShDTk9
kBZZEwfopEFZV822U1TnaMjG3BkolvxEuvHRs/PuYHrGN6vu52JbKLUW1m1anKloQ6+VlhOanQ/9
pQuIZ0+CDrhmq+Hg2CrFRO/VUDalXta0tyvUc42Sn9m/DnzaevaTQpvukBWOu7lVAWCvR8OBlu9I
KGKrUkFapf6Ye3n66IJ831l5HF+Bk9NvlbKx///Jbf6rqpc/FTHvFi+heM6eX9Uuf/2hv4C50BwR
xDjYBLAHrF68P0sX1/tDx1eCaYAJv2lCoPq7dDH/QNyyChkZOKN7s/hD/5LR6GB2YboAzHW9lS70
/5qzY1I4rToelw9xqq5LhrzSk5TUBpfUAp2juu8m8li72TNrbOel5QcazZNKieigdWpo2dwRwzXs
NXDo5STMVgRT5JiQAab99K7H0ntKKEJ28DWmD3w7/Ewvh3tcigvg2tF0Skcio06Gbo1K+ZQsFmPK
AihgSi1DF9H6wJ5yok788yIwrFC9YTz+7f7V0FOoVgowqRwpO6l/scmnoyoDawHJ8UVVfP3nXPKl
dObNL+RYSCGAtTCRXnUSL6aIkiNObA7QQRkLyCvIWmao5Wp6+E+uwp7PimBg6a2zzBdXaSfbqBSl
bRDWi61TDISfiWr44Kv8vgwYkq5D7pWcgwn15CJMgjVsl4yQ2cokaQLND8TZ2TXm6+yDVfD2lRjA
eliPUcierAKYhXPljkOzN436fAS/76y1MEb3x39+2+As/nWddaG8uG1zZ1tIqvpmn4jlQiBYIBZZ
7t6/xqnp4ddqYwGY6H3X399bBUwvLpKWDD0Kbc24pFrIjMd8AqG666oLzbkkk2gDUod0gVv+zwCi
gH/ae/Hm/c/wxiLknM7kAPorw/9f0OsXH6HiiI3+VjZ7pH/EGPTK3mtp1/4nF1nlNuhMKKVPlofu
FChj8MPvAUrMZ+mCcwHXrX31/lXeWBq/9Omc2Kgvcbi9vpuTnBUrokGzNxl9y2iE2dEdyRv+YK2/
ecdQu/3rMus/f3HHJn3QHEKnWBkxcelRcxgyJ/lPbtiLa5ysckx/jl5KvgoUjXAqe4dRGGzk9+/X
G3vdq/t1ssQhFFUwDLhIrzFktWTZUtzVdFaj1FyrcC18/3onwqt1tZu6TaAcgCreTev5/dWNc718
lrrCl2JWUYBNMy6G9rEpSC8tr7Jp+/7V3vp2CO1wza3X+vOM/+JnQh5CVk3bNPuuMbMrITm5Ty5N
bqVpfvSuVD+43FuLD+3s+sp1V+XoyWauKt64kHXd7FNrqHdRBl50WAcCjpeAU3v/qyGX51a9ELpw
Kz2NR+bXpqta5ul+2+jmqDAHL/dVmsR92FUm56ppNEefo0wx7oxqTAEid6oz+lrpaDf9aP0gsap/
lA6RwoonKyLfZ1EEoHm0ARv1XDxEfUXBajIZMn1lwkCPs8q4r3vFPixT1xz6KHJ3TlvOmt+My0hI
kAdYs8ocB6RZXz+kvWn6AFb7C62B4JSI7ilCWUT/Pp0k5/ykf5jt5MfYq9ZmiDjh1HN+BL3d4RUu
8h6BwvJVjDWR2dNs3+q2Fm8nO2KSltfDPcFp5KTCtKOiRtcygFTaQe16At9Xt94+nx2kLgOnj6Rl
3p04ebFJktj9pEe2F+Q2CGcGns1T48bEk+pR0dzHgvhyzZ3L58pkHN0pWX3XjFFywRiPk9LC+Gk7
6Qh1OlWGemXdllYD9U8nZmvpkuu4uE26c3xq5vkSQULzB32h68NHaxnyLehOD0yknSdSPn7oNOjn
QHYaf2lB79JH6++BBsgDmD/lPk68J3N2oh3gZ2xVnWs05HoiS4Do/BViT9YR/owocGtEq66qQeHN
XAelkOUzqIj3c9rOoTEo9GKU8oH4XOLQoOQhGQrNhMmujWNwIqXKKboQtex8NLV8fFQb+qzq+phn
qQoyoKFBwZir3tBCJf99hEHtdrSA8mmEWBTFzpc5QXwzQhPMkT98g9VXAYKJqtCtmSJAuOhq1Ecj
cQ3kCRODTYfa2TVRtnxtzU7JAxdqzLKTFqo+v9Xi/ovbam4ewFOq3CA1IinPZeyJbVrUPTnHI8pD
fR7u3bkqD0bZdlrQLDEiq5xz6E2NaO9LPDtgvaMlcStfJyHr1m77Ck6z1O4rlYkCwNtJ/5JFsL6O
09grXxj6WQjxLKzuXT9URkAMmn2DGCkKl9omIauwBMgZpa4Po2ep341uMfY2Qcj66GnMHsdN2XUp
M1fTvixJ8ip8fYK3a2atdmxmOQZ8wPSsybr5SaRDE47lPN86VobWZDTjgW63SyDiwUHx5fhg4uou
7BZ6Sr4hXPRMpQIu84PNwlH115uFu0r37TW5wtGYKlqnUZSloTYeiA/Wmd5nqs+ojiY7o6eQD2cf
umUpaAQRT9bGCAsyC/G9dPWfaco5PK71+AJ3DYQlq4t3M1NGn/xywp+VvL2wZIpsByUZJEAv9iez
PEN6EwcLVoJ9WcW3vSMua5KjfB1CbS/6K1h4fmPeNKjGA/JxyQ9U6nByl6t6Dfqd8wdzeJ775nxQ
6oyQj+IbuuSGKxLzW3Wib/DpzhLAiRw6lIgkAwwWqHetQkzZjXlO7B6jxY2tilsBpXCTTrgQrY45
XdmTPA46oi2CpKCjGuRuXexQKegXbT21PjNYk4h0pUXM42ZbJD4msdTya+m0uKwJ3K2CiK5nYI1t
stWop2nKYAcGZz3sZJtnX+WQF0+dYKw6WXaEK21utx3BjEQLCzffIb3wbscBA5LWH7xE+z6rwCy2
U2k8GoVq3vUKAysG1V6w6Ol1HqtFUDheecYKcZ+6RVUDdSjTM63Qq+eecDbXH51a/bIM6vitLnGo
RWqunXfLOIzEwktis3sSiV2pxdcpge67ei4H7IJFw4TWkA4MvianwQF4Pk6/Jmzx51jPutBw42pv
zosW6qbs76Y2G89K9H59oKbuCiBz4stIZilKL6tIYVt503NetOpz1WfD9Zw4ab+dK8+4JCJqvC5E
Wl6lVW/PAQx3ZD9C1TuH9PVO3ag1ShQ6LbVxV9LUt/zGdu/a0XICQ1G9HUKn5QxScfJQJBLxPjGN
bePrECxuUWybt0hTazTTOS+HhuCTPAXXN9GrhexBa2pDvw0FJHlrcKhmmqOCXvzWot98nhtTQnDe
KkO0R4UhUrZsisyoa/AdGj60RV80FlBJC77w2Enn8evQpKGTNM4OIywd8LYwH/o59+7IJSOfwZ7B
VXhGfF4qWXnZyETslXZZLmyF+ykVV3zu4yjhhsRf1IgaDpjLN5Ls0ge7xRphISMMPLvlkUxmdP+k
703IpIb7IkUrVnX9WZ2k9ibLieZWxizZC6UnU6HKsydjSBF96i5ymcGAiTIvTBEoi3/ABV8uzb7p
b5e8IdCl63Uy75ycItJC8xzr2sPYR8+Ei683xgPfqZfOvvCq+RjRi91plSvuMyR2ZwUVwsYAi3+o
FYLUK4Bvm4hoNtR1hJSrQ0fLcXQo5gcvkAiHfbQkN6YhthqjEASegxwyRO0jcWkMWdA7p/YjMjHx
pa3Z8m0kqEOjOFt3GrOH0axhRSujuS0Su9w4k4J410OQMk7YSsDPACIFcGl3w9qTrB6FiLQrYDLW
FehV+0poue6Pbe9dxiDag8Xzkht4k5Wv9LVLi9TrL8gJs4OWPm3seyZiH70oFKzL6HU0WILSV2Ur
ExzxCPFagogpGLzOCZtJYSBMq59xShbvbACxuG3NOqzU5eswyX72iwqQTkkK1wGwUXSt6GX00JLV
SAw5IqUEpZv1YMxAj30Qd9ODE8WEYtmZUB3fmuloGxnBO0QTawLRZIk1X6pN873N2vlMKZfW55+W
3Bs6OQry3Kr5Jk2vOEKcU0CSx0p+t6b4hu0ydKFuXBIRuEChn23KhdK5ViudfT1ugXn5A4kPHPKE
CdOXiLcdo6xl3mgu8BuPF98P1lZHv7/S/d5bGELEMNMbNU9/xJk27yypk4lekWkeWK0qvjU2VEgK
S3FBAClaqkUFL6ON4N3KTNCsRQrzpcyNHwVRCmeJYsPO87z8tukEOi+vLwtEUQghaPEb3XbkCUOD
lxoGtzPDLQ7pIN8jcAb4tBAXsCxxe1+OrUtSfb6cpZOtnMFeHcJizkFyOAKRshzbTa461a6EMhN0
bVweq0Y2Ya7K0W8wLtxgOZ0fFMXUcTA4q3jXzYG/Da28HQvFBDKllndaCc2xUgTxPaLVj7VJ4AkY
SFSdc2rvOjEPxK7agCohuEGBmMnFWOxhW2CD8nvNgc+AsDbISM71CVoV18vcwkkje7qMuq/x3FE9
Cxq8di7CPL7qNM6pvAAH5oJQHUjdVJjE9LetqI6DMsAGdL8a5ddJ8SYqpcNgOJFPgO9Gl+p9U1Cn
wZ62NfVcuDU2mkw9Mo+8NuJ9uWj3XjkGZD2jgPOKA+RZCujU3S65MVICReFsWKGa4jKNlHEP0+Iw
T57P77L4ah09oLQL6lqeLezp9CbYPGhaR3Z1tczEkYzCMQKlnu41Dh0bV83SPWqfdW9XHqZyvHZb
FFi9uKmpETt73uKol/6gTQReQS/2da3ajxrH2lSdoUbxsIRR/1MfprDo2fcoPuMNDug56NTmjsHb
xAeGUzGVzhOZiyjsIV4A2BTnM0KNAc1F2LvYiNib1vckI8JYGIHLaWDUkuJBFONFU1Wf60n3p3SN
4PS0n9pwrmndj9FRyK3UvE8pYkldgZlaLJx80IwwGb6fTI19Olo2LqNSryQ6euQqvU1VLBlgUane
LpFytNRKwf4K7aAY4TtH2aUQfBRFJBO3DqFZzlzs0mrJRShH+DX6Ml8vpbmzp2U3RNnjGC83sld+
UDiRHRGlhm+qNLWU5JmTGqWjZ/O+tppv42Jr4cpap9G6qQwZfWYV29SkBnhPkquZehHqlQl9xWep
Z0msb6eou6V0w5cjsG00BCoa+2haUGZkoZJFX8e8uLaz4pMEPEkfqN/mqXYVtw45wUWf2aEQVeoj
Z6zbQEvcRvXpm5bg0W19pmrSq2qXUgMpPklsq5hQ7cwHjoi9Fi7pavhTrOZ2qsxzg5SEM7UJweRf
9IvebVSXH16ZZB7WxCuiLDQl4h2CHKm7272ZJOW56/bDd6C3yZlbPXXT7OGj8Wp/7gYrTPlXr0xI
gdeeMqP8Vi2BQKgiEQUfaWD3KiEHKsOa2EVxRXNtHNmhcAlgbVFr6iB7Zykxy8stb2ultXJfuEm1
t8s5ffBS297IymzQrERKiBat/zSbjndjIJoLHCCRj4rCwH0gjIfjnC72KDazxzRjmpe3DjlrymGo
pp8Jcd2I+XTpbrpJJvc5NquwAG5+hlpUoB5t0dzALAAQRsEw+0ptUODqna1wYu5HJKuO2YRx75Ld
uqiBZOKzTZGRbUe9hbnIYPw8bqP2c9ICnS8SZI89LeRrp9S1zdjUI4+n7n7CcEW1XukBu9K92uYi
cDt5nprJlZsXnJok1E04pajvSzgKnRLHu2iYtIN0RjsQqiGfqUoFUkAO4+sp0/O2OJW+e+l1ZZZo
nuNvwCqGPaT7c8ep5ytZOR1J4AiA7IGLmXp0QTV7j6PgfiFBZBNXNWqlwiCXyTSASifC/aRU5t4W
6q3olfauSBz6F6Wb3fVm1e5pFKjPpdMQMa0jnPUq1T4otZUfi3TwGDhE7SaT+hyShHmo52l5cmzo
8Xo5u1S/c3GDfnAMCO5D3YgMLpgQt96VLMCLKKNc3OkurGfVTs+yEtqHP00CuUK8DrynDrGFqSU3
SU1sMSIl8tix4n1gRjzpUrl4jSGrYPFeJz9oyk/mJwgJ1aQqBF5IJHagoncjeTN+UZebQmWy/0Hf
aP3bXrSNfrvaelJ80RMrktLq7Iar1Vp5ZYovonusBBVas9XFF0hcCLbJdNaeyHr64Monvb/frnzS
m41joNP5OpdCVDb/TKOe2CTQLl/GCgte6KD5xdyQzIrPSacVSBpUPFUzqYrszSCyW4wQGWFdFKAx
eaKouzEwLYg3iKX6oPX69i+Cu4uGt8dY5qRLKTl2uXGBPTRpReybMFXY8IFU5BCGrJE67f07s/YF
T38SSFYMEnWAMsxnXv8kY6OAR2Wz2U/5sueH0MSyRYbh/TDh80KtMKqPOpVvfUFGNcCzNMN0ETq9
vmLTF45RO3qzl7p9xSOGrUTX955hOKFZuB+MF35juKwL/OXVTix5dZ9Z9RgbjJ+cLMwBNbItrgtO
8yz8nTG68O3cuZ+m5oN+7K+G6283Ficgcy+8xqZ9cmNBmDZWt+ooCJLSMCs4gxuoMfHNSaoZvtam
5RnCjtEfLAN9ahp38z5WrcQM7Dh7yJfUO196SBibhHywY57caQCGGsKURlXewF9mj26gFVbDlYYl
p4nr26rglROdS1CIj3ZL/C8GQHMvG5daGJ+K2Oj09PakfHbnow5rzxei9TZuOqPzz8ydqhKzpigx
J5ZqDV4m3+Feqqi9fJFny7maxCspWlNW739TbxLd+mZlXX05DFp7K5Pog/v3FgUBBMKa8crQFSvl
yf0Dgl/rcOrlnrHT6jrCM+hUzgVbhhyUW36vjCSXgvAQwbmv/HDKctJPXzcM/sfGIU5nBEjsyQSk
VkkFK7y035tNYvq9QSL0jFZ1o46a88Ej+NZXtRmOqr9ySAAynjwRtR4lXoIOZ08DQKfuqtPlAvdT
sxFy/FyoYxk4PTEP6TSXvuOqk1/n9YhGxaYOsUX7wSvhjR3h1ac5eWJUunVoosxuX1qEaiHy7Zcg
nx+9KAksmaPQxf8E/u/9bejN280rCLgg00D4BK83BdojNNJcLorniMLRMBfEcw3yaI1H9/1LvfX9
dJMxMQBOfPD2yStvhgkp14k0dDm1+b4IetlFM827VFgqHQ/NXyrXDFQ9tnbMxfUPrn4yvfu1roBY
6b9GruioTtbVCI4YtHnc7WloEVq9OBsVW9cHd3P9iU72nl8OYctlhMwr5ORuKgTdCq9xmn0kDCT8
qNis3PVJNKGkqsVusMVBY2TyQSrKb1jR9ZkBwcFcnAcHDcrJS3aiNc+Yy0U65orztCDwZJ1bS/AO
qunEPnkiFyA8Vip4kMx8e6LZPxpNrd/st2/O0M1ePwGUtJOPoKmDrseGx+sMkDtJZLQDoRtcu5wh
adzElHgUXO+vp7e/NtoZx8TQqzqnwhDGVjLu3Ii5b28Xm3gZ2rMI0co+Wgnpha2P4Sid2R/Yg0OZ
K+KA+hILYoIO84NPstZPv3174lDhCxi8zk877Y2XpXWaUF9FInLJuTV+WstISZcwV1CuNTVf0ZGc
fk3suGKRxOGpDHU4PG/e/yBvrT8ENwhvGVLzkj/Zu9mNMc4U7N0DtpYuoR2Wi7PMNB+JzzDDutfO
6qH79P413ygr7BfX9E6oOUWCeSRSqfBAnwScTgDC4fE01MtFObx/pTe/HRQ6pEfIr9zTCk2hIFyE
yZXIM34gJe7cc2o8Z+6nGclE2Qwbx8o/gJa9taxtm8rPBVuLeutkWQ8j3EXbQObUaDDB9dRW95qb
FJ/RX3J05JVPytEYPb3/PX+DsK7Ps0MhtKJCABucPs+1UDtNpB0/o2IQRJO18rPtVv03gcfmQFCI
w6CvnR7xZ+gbA21uuCTYF4VGudOXieNLffjmEAh2Br8s+tp1jn2u9pj23/+Yb+2oDtWrvbKEMVOe
7OdxN6mRUw9ynw6VurpTnhwn+6Aaeev1xMuJ0yXYOBUV3evXkxE5BrOBHGYLBvC5srxD0iymvxha
/cFu8uvEdfoMAydG4UfVqKPJe32pwl7kZHSt3I/oxEuxtufJugpn01R2BkgJGodGGhqizjH2VGWQ
KjDjpHvTKV2K0dmpjhZt9xq3LklMC040WCe1H8Wdsc2XLP4cu6oDiUBVP1C/vPH8wdIxgNxZ5ETC
1Xn9uc2497xZLnI/w27vy/KrrUIoHwkmnpYPXjQfXWpdES+OkTNd3FpVVQ5zaYNAabia04G3Sdwp
4brn/ePlxfdy1DVc3bBU82R5TcXQcz7SedrtiqHNnKzRPLl1/f5V3vxKWOYtWGZMsU7f2AZnhTSl
tN+ry7ByssS1g3yhLJgug8X9oDx4YzWvb+e/LrZucC/uHylEsipMLpasLjcxlLdeiYRBM9sPEg/f
2ClfXehkLdOBh2ZusCaKpt2su2RZAqDQWhmmYlH9poSyWy8frcT1bz15ghD4UE8b6//mCPb66/W6
l1jIJeW+l/NjRDYRUbT9rp9JEUIi2yLDXz6t+5bnJuoHd/aNvYgqwEVlhLnIYOb9+tJJ2xie6O12
7+iyvCrtuP+EluQ/KJZfXeVk/dujVzQu33CfkkIMchkDrEy06yruP3jtvPV1aDOvRxIm99rpGba3
cIYbxJPt3QyRO0rCx6Ew/vn27azFqvGLNsz/8/qWMU5yh15IHmbipRvBEE6dzOaD3+WthUjzUdMQ
OhNnq55cJEcuNNs2SyJvcjtgeRBUaWA2UeHa1Ma24qAFOhd27vtP9ZuXxUNmr5ps9NcnKzE3a3Ps
Nb5by3Gj1rW7OE12U1oGXdlsYoktOPHC9y/51k+2/lg2qQycKE9XoIulXW1JuNrPDsPp0omCXigf
3c6PLrL+8xcbSEa2NdYwXrkFErNt2szfxNxrH/xmv/SSp8/xL6UefUkPq/vJw4SlwXWYhss9MYZE
w3PioJDQusu41ZzHvO/du9Vw/k3LCGn027ZU7nox4urtvlCaQINwo7vUk2oe9LIgKXZWo1tU6bBI
Lhj3IEr7bvLxjyb2Xbxi4srqLvLVKg0LbO27rQ5lGh8kj5mRfYGTWDkXahbfd9VdnjKczQyYO13i
3tKq/w6avyOgbq4DXDLuNiu1J3Lqh03cVsOm4jAdMo1PUTtYFxToxUVuDD1Moi667s223VZ11W8j
d8Ra7qV5gcojYlD+/sL4LfiAao4IBdWCl0nXTTuVp+aFOapZrXR7DGOMPuJePPIl42cwH+ZlC1aF
iXSZa3qIoL6CSTIZITVKGjZ2ExEsSZBcXRLBneoVGbPDqrZPYudiij0CrGNwO+9/3DfeUXxaU+VQ
ir6Ql+LrJSba1AZrJfo96UkQMRDwxfjPgOT875b9j1yy/9ZE8t9rlP3TNcJd/fc+2dvntBXPInnD
bcKf+9NtgqfEZTzrmFhS0XGxeP5ym7h/qJwzqfToHiO5X+vuF0ZZx4HrR1QzHTyaaH+7TYw/qC9X
ewM7FLIaEGm/7Mh/R6e0J//9pYPB+nWef7FH0CqCY2k6nPxwgFCd6a+XCSTFyqpVG6YkkiSsiiHK
RmzVsvtsg5XICibUEC/LIDetcxp+eLxF8TNGvYIvuN3OJsb4pdLQt+AEdZIEz1xR44AyFnGgxA7M
NjrvFZ7Iouw/DZnK8sd/2oj5G0KV41wwo4mk1oR1hSNuyOefOWi/rMblhwyNQ9uEPbfZQeHIw8i5
H0CIWfFnoThM79Ac29PT5HQ/CYv7lKQXzthtpKIcZaNfdigwtb6/buinHFGxgCCIU+CUbQv2LDVm
THSdGh/KzCwYTbedIf1K15MohASf39CGmSH6QCkipN1ByREpBLiSWrzti9w5snP1VojcEttWl8jy
JprH4ZPnRct3NdK072yZ4s5sQIwjeM3qB9Uq+hChW7EhKja7HRb2CLYS9RrFKXxmwXR2u5h9sUOH
OV2mqSPPTFuPr51JE2G/DMlGRRq046fSQin1G2qwcy/LzzOj3avNpW0CRhpng8loh97JKmhQeInL
CLrqwWh4Ft2DaavK6QFxIFWIrp2brXdTqaBhLPsQDTKY4ntYOF/hlYOEEtcQkZL5k5lGBzexg6rY
JegVNPMqSYh07urdAvczleOVWmY+VIdHLRO4medzU3uUSflJjX/E0tvghgyp1W/7+EdTiU3kPUTw
uHCKyjAGdEGcx9XcP4AzOhOdsl/M7445bAasmMvUIm1kSN4b2x5RRsJMKV3MnTPKKIzFXRkTjYQ2
p4KPq4rP5agcOi+qfWcurnvbgE+73Es8TcHY7+u2r0PakA8Fb4sjp+odWodA0660/0vdmSy3jWRR
9Fcc3kMBIDEuqhYkQZGUSA22u9raINQSjZmYx139W39YH1CSi5Jl2S51R6ixcIRNGkgkgcyX+e47
N+hPIiCXbld90UpxITDx7C7KFjSYTq6yV67DCnd0s5tnknKcKOqmkOBVmBbKjBqEnr+OLUuaDhFi
N09B+4k9Rrq09JDy04isgt9FK+SJ1PV63Toq3Yk5SMAUQyVYYNe0EZ216axSwvIvv4ntWsxK0apO
6ZdLqTJvlPHlioOZrW+Jlm8V9UskyY0jWeXCD8zjmKZQFbqiKDYkWRtOWh8Nqpy0/7QqhVru4jRx
xQc7k9a9UFC0xyjEqSWfNvBiggRbcR+JDHSmKzcMqJLCJNJTwmTCqc88yXZneQiyrIqt5LixLR4P
SFFOQY1OMGH/gSS3XkJpkwsUW6xnDacDovEv9H/NdIBndyxVPHhsqkCcDEsxQdZkOWxnMb74fr/q
raGfuq7mH7v06lSudXGZtTGmxkhiHKyemTtzIO+S6KsvOw0kEXid9EQDo3+mxJHOG1FmSEF9a+H3
WfolRutFkX0tYqTWtQsKJKP6V6XE3gm1RHG81q7mhDHBGg5QBFYxl6b2kAOtCvgRRRbbS6RKETp4
A1FmgquznynFh1a4oMOGqtt0bLpNGtQ3MznxWidLpGKelmW6tCMVHViGkn9W+MKCoGYMn0y1JKTR
dPec7qnA5UnV5xhcyzEVJy3Ew0St100f+U5Mces0TrwYXm3RODsCn4lIEBaMfi+OrUfDiLsaZnHs
BjMR+fm6lsst6kPZEbUh4/AlVXO4atWUqvTRCDVleGvb5c5q1Q2bTiV2aoWbegg+yLF6ZIKu5M7q
HIBfZGlrE4NnIS1jTf0sAGRBsm3dqxSdPR1BiB9CVfnoSpJ+LYd9vTbkxLgoPENzsOXO+APpNa6Z
kZPgLbQkk6JO0RvrOD4p4gz93KkqIOuLndY7pislHwWuR0sbWtza1ENGsFKuL1JV9vFoNgs2c7Mg
wMxZEcm8SjP9izdSwRKtYrEb2uVM4HI4wd2YQlqxAc2PqG8sm7c0HHVqbINmkZYTpcppfqm4en9i
ido8ldQ2hKsWfWrC3eDISivN/AbqYCfnp1VkHjORKY5UewAMdf8kKDxMg4xk2uaKhz1dNXHrVZUr
1kliDbPar8D2SVCXEyhBqTzF3BQIJqv+KztJcNP1xJYaLLEybDuZKiBSp6JrYkfL5JSJS0mmIkmz
D6Gn51PyX/gxC1dfZEAjZ3VVolsjq868UInL3GS1qzW6vMYuWVD9kF/IqpgWhY5S1rNZfGP3jJVM
jzxKQlpt996ndDAkpGOIsHclgouaWoGgHf0HB2Xh1zYiRcuLZxEKDtwg/8D0mFsVdYXYJ/KP8w4v
Zluvt1XEOKJ30iRlZlgwAGAWR20BFfhnoY3cy/BNJN7B4FNaELAKyJt4nWE3tqqpg1iITv1c2RuM
JzIQ0LKPkDG7St02WWeNedla2G9V6WkU2qlTqtRy5KYpzSvfUv4AIlw1cES14SY2ar2dgBty5Rll
MHkwj1QfzZWXRMeJDyJRtFI6L0UKFgu3RrBYbR7uonnuugb369oViJrO1k/9AfrnjojcW3aptVux
t02HmNWOf3UjuDEVWINV3ZfahF1CUBcoUmZFBLItakh5VIZGKNHkMWyvXExy3mSnzNX8RnFHwrYe
GGo0jZuKOhvkH+WsRmaCTj2VMdLz06H5YOdQuvsws+cI1KGo2aBdodJlc7OqBciMFmc0Fe3LivXX
DlqnMXzwA2tnOjBNJKrzqb/RoecP/hVuFMW5lTeoPIPKBAThmdlkpzMGZCSoMdQ9V4ys3oBQFLdW
hpLS38nj5mpibVTUNDd2R5leC/LstNr5+qK0GzYvrQFnzkZSmBYoDEJolDDL6a43zSDwRWuzVM76
lElWtNNMNQEUFfO8kAGiyAxgmXpGLKufBbl3IkWA0SJd2/gjxj9DCTYxMOegYKWdd5r02ev5S2fm
1SKoI23W5sE5oC1iPmwfL8IwxxqTZ+zKio0L3yg2Br7yM7A+0pQiaCp6msZYJCk4gxAG0OwgVD+/
C3Efhb4Eto8DX5D3ONgRnZOcxoboceDrwZIoQBtSN+lGlyCCPw5estrZPxLOPFnpE1/fFz3DNabM
+qlYo4Ek2BYdYo1UHW6DQqwaYfzj1+/ERAZi2BSJfFsyDptbjSWjzxelKx+HCrrtPB/OWcL+4rbZ
/l4OLzTuwR7sWrRpOkg7lypQ2Hqfga9txtrMFOn46+7nSfK1krAOtjIuEwaqDJnFXBYUKGgxatOX
L/Tcb7MveibtyC/zNCkEXKqI2T0ly8u6/KT3KuW0KTvr7ir/J+vj+2aOliPISIOqv6i3RX+5Leu4
+rpSHD89p2yt+pj+vS89LDmfP9G77f7KpO+2v72/SetdNbbAC9Ld4cpZZZH7aK29b9G+uS+dIL7m
rupbzqyyNCbxI9uwyu+O9+9i4Gb3H2OSwguoYoGC9dd4sNnI9Q466Htd8PLd3fXly995dAPXt+j0
ZpQxFsFNddgDJrR5Ur6jrgtvbkG1LYPSz3TJkzMedIl+xA4mqRzqaO+OR10y5sbeVheMmiEaPBba
v+7G4XWQCcItSnnuxm3lCIHDmFo36RwOxpi32RFPN6C+81J8/wlQj0goIuag4viZJ2B8KUaJFlmm
u0/fXkfcbcT95ODwYj8w1hM/Pd8PypGFSQ87pfdjx1vth//CiyGbGC6SjX00FPAg4HLBRIh91P5g
I/CNvRF3DwJBx+tGBnA9NhG1PCbKDqYHNmrR/Rhsh95PD3dv3huaHsi78QONgrfXdYB+pIA4GGlG
z40I9AMoEzLo2t0r97/qgG8n9u+/u9oRQkONHWUmx/Hg2Tz45Xh0NRSmmsLcvz9+oeE/cXdfo6Sp
H8S3+/go2JbPhVHf+8JDbPDt5/dxwfJ2jF6+buTvvzdGS3eX/it6+v1RF+1Dl4MPH0KZw/9+f3/f
XvnZNj384yLYQgcm57i/2/6+lZvrhCjrh151B7Heo+YePLYvnf8lftcrT/2DfM0rz37i1/Hu+jCe
u39hGbH++pV+e/93OuVlIusrGz65LoLy33/GD80cn8aHOIzB5rVtv7xmo6Uu3s2CJiifxPzPRrwv
X/C5J/prFP/tc/4QnT/33x6/w+M3buLtdfH7fwAAAP//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6">
  <a:schemeClr val="accent3"/>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1" Type="http://schemas.microsoft.com/office/2014/relationships/chartEx" Target="../charts/chartEx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229851</xdr:colOff>
      <xdr:row>75</xdr:row>
      <xdr:rowOff>85724</xdr:rowOff>
    </xdr:to>
    <xdr:pic>
      <xdr:nvPicPr>
        <xdr:cNvPr id="3" name="Picture 2">
          <a:extLst>
            <a:ext uri="{FF2B5EF4-FFF2-40B4-BE49-F238E27FC236}">
              <a16:creationId xmlns:a16="http://schemas.microsoft.com/office/drawing/2014/main" id="{464FCBD9-9F29-EAB4-4980-DBB69BD0D6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918151" cy="14373224"/>
        </a:xfrm>
        <a:prstGeom prst="rect">
          <a:avLst/>
        </a:prstGeom>
      </xdr:spPr>
    </xdr:pic>
    <xdr:clientData/>
  </xdr:twoCellAnchor>
  <xdr:twoCellAnchor>
    <xdr:from>
      <xdr:col>3</xdr:col>
      <xdr:colOff>1076326</xdr:colOff>
      <xdr:row>1</xdr:row>
      <xdr:rowOff>19051</xdr:rowOff>
    </xdr:from>
    <xdr:to>
      <xdr:col>13</xdr:col>
      <xdr:colOff>361949</xdr:colOff>
      <xdr:row>3</xdr:row>
      <xdr:rowOff>38101</xdr:rowOff>
    </xdr:to>
    <xdr:sp macro="" textlink="">
      <xdr:nvSpPr>
        <xdr:cNvPr id="4" name="TextBox 3">
          <a:extLst>
            <a:ext uri="{FF2B5EF4-FFF2-40B4-BE49-F238E27FC236}">
              <a16:creationId xmlns:a16="http://schemas.microsoft.com/office/drawing/2014/main" id="{8164247B-F6D3-34B9-6D8C-443453DD0D07}"/>
            </a:ext>
          </a:extLst>
        </xdr:cNvPr>
        <xdr:cNvSpPr txBox="1"/>
      </xdr:nvSpPr>
      <xdr:spPr>
        <a:xfrm>
          <a:off x="3038476" y="209551"/>
          <a:ext cx="764857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latin typeface="Britannic Bold" panose="020B0903060703020204" pitchFamily="34" charset="0"/>
            </a:rPr>
            <a:t>Samsung Revenue Dashboard on Sales</a:t>
          </a:r>
        </a:p>
      </xdr:txBody>
    </xdr:sp>
    <xdr:clientData/>
  </xdr:twoCellAnchor>
  <xdr:twoCellAnchor editAs="oneCell">
    <xdr:from>
      <xdr:col>17</xdr:col>
      <xdr:colOff>361950</xdr:colOff>
      <xdr:row>4</xdr:row>
      <xdr:rowOff>47625</xdr:rowOff>
    </xdr:from>
    <xdr:to>
      <xdr:col>20</xdr:col>
      <xdr:colOff>361950</xdr:colOff>
      <xdr:row>18</xdr:row>
      <xdr:rowOff>47625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5E33AC76-4F37-26A0-8E4C-E9AC687845A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25450" y="809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561975</xdr:colOff>
      <xdr:row>4</xdr:row>
      <xdr:rowOff>47625</xdr:rowOff>
    </xdr:from>
    <xdr:to>
      <xdr:col>23</xdr:col>
      <xdr:colOff>561975</xdr:colOff>
      <xdr:row>18</xdr:row>
      <xdr:rowOff>47625</xdr:rowOff>
    </xdr:to>
    <mc:AlternateContent xmlns:mc="http://schemas.openxmlformats.org/markup-compatibility/2006" xmlns:a14="http://schemas.microsoft.com/office/drawing/2010/main">
      <mc:Choice Requires="a14">
        <xdr:graphicFrame macro="">
          <xdr:nvGraphicFramePr>
            <xdr:cNvPr id="14" name="Division">
              <a:extLst>
                <a:ext uri="{FF2B5EF4-FFF2-40B4-BE49-F238E27FC236}">
                  <a16:creationId xmlns:a16="http://schemas.microsoft.com/office/drawing/2014/main" id="{527C791D-E561-3859-3F97-AAEED58B21E0}"/>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5154275" y="809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542925</xdr:colOff>
      <xdr:row>19</xdr:row>
      <xdr:rowOff>66675</xdr:rowOff>
    </xdr:from>
    <xdr:to>
      <xdr:col>23</xdr:col>
      <xdr:colOff>542925</xdr:colOff>
      <xdr:row>33</xdr:row>
      <xdr:rowOff>66675</xdr:rowOff>
    </xdr:to>
    <mc:AlternateContent xmlns:mc="http://schemas.openxmlformats.org/markup-compatibility/2006" xmlns:a14="http://schemas.microsoft.com/office/drawing/2010/main">
      <mc:Choice Requires="a14">
        <xdr:graphicFrame macro="">
          <xdr:nvGraphicFramePr>
            <xdr:cNvPr id="15" name="Product Type">
              <a:extLst>
                <a:ext uri="{FF2B5EF4-FFF2-40B4-BE49-F238E27FC236}">
                  <a16:creationId xmlns:a16="http://schemas.microsoft.com/office/drawing/2014/main" id="{A8CB67B1-FDA4-44DE-9202-DDEB85703096}"/>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5135225" y="3686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409575</xdr:colOff>
      <xdr:row>19</xdr:row>
      <xdr:rowOff>76200</xdr:rowOff>
    </xdr:from>
    <xdr:to>
      <xdr:col>20</xdr:col>
      <xdr:colOff>409575</xdr:colOff>
      <xdr:row>33</xdr:row>
      <xdr:rowOff>76200</xdr:rowOff>
    </xdr:to>
    <mc:AlternateContent xmlns:mc="http://schemas.openxmlformats.org/markup-compatibility/2006" xmlns:a14="http://schemas.microsoft.com/office/drawing/2010/main">
      <mc:Choice Requires="a14">
        <xdr:graphicFrame macro="">
          <xdr:nvGraphicFramePr>
            <xdr:cNvPr id="16" name="Order Method">
              <a:extLst>
                <a:ext uri="{FF2B5EF4-FFF2-40B4-BE49-F238E27FC236}">
                  <a16:creationId xmlns:a16="http://schemas.microsoft.com/office/drawing/2014/main" id="{5CF0D51F-09A0-5688-9036-0F137B7428BB}"/>
                </a:ext>
              </a:extLst>
            </xdr:cNvPr>
            <xdr:cNvGraphicFramePr/>
          </xdr:nvGraphicFramePr>
          <xdr:xfrm>
            <a:off x="0" y="0"/>
            <a:ext cx="0" cy="0"/>
          </xdr:xfrm>
          <a:graphic>
            <a:graphicData uri="http://schemas.microsoft.com/office/drawing/2010/slicer">
              <sle:slicer xmlns:sle="http://schemas.microsoft.com/office/drawing/2010/slicer" name="Order Method"/>
            </a:graphicData>
          </a:graphic>
        </xdr:graphicFrame>
      </mc:Choice>
      <mc:Fallback xmlns="">
        <xdr:sp macro="" textlink="">
          <xdr:nvSpPr>
            <xdr:cNvPr id="0" name=""/>
            <xdr:cNvSpPr>
              <a:spLocks noTextEdit="1"/>
            </xdr:cNvSpPr>
          </xdr:nvSpPr>
          <xdr:spPr>
            <a:xfrm>
              <a:off x="13173075" y="3695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542925</xdr:colOff>
      <xdr:row>1</xdr:row>
      <xdr:rowOff>114300</xdr:rowOff>
    </xdr:from>
    <xdr:to>
      <xdr:col>21</xdr:col>
      <xdr:colOff>561975</xdr:colOff>
      <xdr:row>3</xdr:row>
      <xdr:rowOff>104775</xdr:rowOff>
    </xdr:to>
    <xdr:sp macro="" textlink="">
      <xdr:nvSpPr>
        <xdr:cNvPr id="19" name="TextBox 18">
          <a:extLst>
            <a:ext uri="{FF2B5EF4-FFF2-40B4-BE49-F238E27FC236}">
              <a16:creationId xmlns:a16="http://schemas.microsoft.com/office/drawing/2014/main" id="{35421080-B9C4-87F1-355F-44ABA6AF4293}"/>
            </a:ext>
          </a:extLst>
        </xdr:cNvPr>
        <xdr:cNvSpPr txBox="1"/>
      </xdr:nvSpPr>
      <xdr:spPr>
        <a:xfrm>
          <a:off x="14525625" y="304800"/>
          <a:ext cx="1238250" cy="3714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Britannic Bold" panose="020B0903060703020204" pitchFamily="34" charset="0"/>
            </a:rPr>
            <a:t>Slicers</a:t>
          </a:r>
        </a:p>
      </xdr:txBody>
    </xdr:sp>
    <xdr:clientData/>
  </xdr:twoCellAnchor>
  <xdr:twoCellAnchor>
    <xdr:from>
      <xdr:col>1</xdr:col>
      <xdr:colOff>0</xdr:colOff>
      <xdr:row>4</xdr:row>
      <xdr:rowOff>28575</xdr:rowOff>
    </xdr:from>
    <xdr:to>
      <xdr:col>7</xdr:col>
      <xdr:colOff>590550</xdr:colOff>
      <xdr:row>18</xdr:row>
      <xdr:rowOff>95250</xdr:rowOff>
    </xdr:to>
    <xdr:sp macro="" textlink="">
      <xdr:nvSpPr>
        <xdr:cNvPr id="21" name="Rectangle 20">
          <a:extLst>
            <a:ext uri="{FF2B5EF4-FFF2-40B4-BE49-F238E27FC236}">
              <a16:creationId xmlns:a16="http://schemas.microsoft.com/office/drawing/2014/main" id="{8F9F5C8E-CCFD-6539-55EE-C992476B01E2}"/>
            </a:ext>
          </a:extLst>
        </xdr:cNvPr>
        <xdr:cNvSpPr/>
      </xdr:nvSpPr>
      <xdr:spPr>
        <a:xfrm>
          <a:off x="333375" y="790575"/>
          <a:ext cx="6619875"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257175</xdr:colOff>
      <xdr:row>4</xdr:row>
      <xdr:rowOff>171449</xdr:rowOff>
    </xdr:from>
    <xdr:to>
      <xdr:col>7</xdr:col>
      <xdr:colOff>19050</xdr:colOff>
      <xdr:row>18</xdr:row>
      <xdr:rowOff>104774</xdr:rowOff>
    </xdr:to>
    <xdr:graphicFrame macro="">
      <xdr:nvGraphicFramePr>
        <xdr:cNvPr id="5" name="Chart 4">
          <a:extLst>
            <a:ext uri="{FF2B5EF4-FFF2-40B4-BE49-F238E27FC236}">
              <a16:creationId xmlns:a16="http://schemas.microsoft.com/office/drawing/2014/main" id="{727C2425-211A-40C4-9CC1-65225C78D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752475</xdr:colOff>
      <xdr:row>4</xdr:row>
      <xdr:rowOff>47625</xdr:rowOff>
    </xdr:from>
    <xdr:to>
      <xdr:col>17</xdr:col>
      <xdr:colOff>161925</xdr:colOff>
      <xdr:row>18</xdr:row>
      <xdr:rowOff>114300</xdr:rowOff>
    </xdr:to>
    <xdr:sp macro="" textlink="">
      <xdr:nvSpPr>
        <xdr:cNvPr id="22" name="Rectangle 21">
          <a:extLst>
            <a:ext uri="{FF2B5EF4-FFF2-40B4-BE49-F238E27FC236}">
              <a16:creationId xmlns:a16="http://schemas.microsoft.com/office/drawing/2014/main" id="{B8A23EF2-4F12-4228-8F0B-D1B7AEBE4D30}"/>
            </a:ext>
          </a:extLst>
        </xdr:cNvPr>
        <xdr:cNvSpPr/>
      </xdr:nvSpPr>
      <xdr:spPr>
        <a:xfrm>
          <a:off x="7115175" y="809625"/>
          <a:ext cx="5810250"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904875</xdr:colOff>
      <xdr:row>4</xdr:row>
      <xdr:rowOff>171451</xdr:rowOff>
    </xdr:from>
    <xdr:to>
      <xdr:col>16</xdr:col>
      <xdr:colOff>581025</xdr:colOff>
      <xdr:row>18</xdr:row>
      <xdr:rowOff>133351</xdr:rowOff>
    </xdr:to>
    <xdr:graphicFrame macro="">
      <xdr:nvGraphicFramePr>
        <xdr:cNvPr id="6" name="Chart 5">
          <a:extLst>
            <a:ext uri="{FF2B5EF4-FFF2-40B4-BE49-F238E27FC236}">
              <a16:creationId xmlns:a16="http://schemas.microsoft.com/office/drawing/2014/main" id="{D522CA00-FAA5-417E-B51E-5668254E9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323850</xdr:colOff>
      <xdr:row>19</xdr:row>
      <xdr:rowOff>104775</xdr:rowOff>
    </xdr:from>
    <xdr:to>
      <xdr:col>7</xdr:col>
      <xdr:colOff>581025</xdr:colOff>
      <xdr:row>33</xdr:row>
      <xdr:rowOff>171450</xdr:rowOff>
    </xdr:to>
    <xdr:sp macro="" textlink="">
      <xdr:nvSpPr>
        <xdr:cNvPr id="23" name="Rectangle 22">
          <a:extLst>
            <a:ext uri="{FF2B5EF4-FFF2-40B4-BE49-F238E27FC236}">
              <a16:creationId xmlns:a16="http://schemas.microsoft.com/office/drawing/2014/main" id="{1D679C05-F739-4A59-B231-5811B034F078}"/>
            </a:ext>
          </a:extLst>
        </xdr:cNvPr>
        <xdr:cNvSpPr/>
      </xdr:nvSpPr>
      <xdr:spPr>
        <a:xfrm>
          <a:off x="323850" y="3724275"/>
          <a:ext cx="6619875"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752475</xdr:colOff>
      <xdr:row>19</xdr:row>
      <xdr:rowOff>114300</xdr:rowOff>
    </xdr:from>
    <xdr:to>
      <xdr:col>17</xdr:col>
      <xdr:colOff>171450</xdr:colOff>
      <xdr:row>33</xdr:row>
      <xdr:rowOff>180975</xdr:rowOff>
    </xdr:to>
    <xdr:sp macro="" textlink="">
      <xdr:nvSpPr>
        <xdr:cNvPr id="24" name="Rectangle 23">
          <a:extLst>
            <a:ext uri="{FF2B5EF4-FFF2-40B4-BE49-F238E27FC236}">
              <a16:creationId xmlns:a16="http://schemas.microsoft.com/office/drawing/2014/main" id="{EF462A3D-2C53-4BED-B9F8-A98D3CA0F44D}"/>
            </a:ext>
          </a:extLst>
        </xdr:cNvPr>
        <xdr:cNvSpPr/>
      </xdr:nvSpPr>
      <xdr:spPr>
        <a:xfrm>
          <a:off x="7115175" y="3733800"/>
          <a:ext cx="5819775"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428625</xdr:colOff>
      <xdr:row>34</xdr:row>
      <xdr:rowOff>114299</xdr:rowOff>
    </xdr:from>
    <xdr:to>
      <xdr:col>23</xdr:col>
      <xdr:colOff>590550</xdr:colOff>
      <xdr:row>49</xdr:row>
      <xdr:rowOff>66674</xdr:rowOff>
    </xdr:to>
    <xdr:sp macro="" textlink="">
      <xdr:nvSpPr>
        <xdr:cNvPr id="25" name="Rectangle 24">
          <a:extLst>
            <a:ext uri="{FF2B5EF4-FFF2-40B4-BE49-F238E27FC236}">
              <a16:creationId xmlns:a16="http://schemas.microsoft.com/office/drawing/2014/main" id="{E833F8D2-DEB7-40CB-AE2E-8AB7BD091C75}"/>
            </a:ext>
          </a:extLst>
        </xdr:cNvPr>
        <xdr:cNvSpPr/>
      </xdr:nvSpPr>
      <xdr:spPr>
        <a:xfrm>
          <a:off x="13192125" y="6591299"/>
          <a:ext cx="3819525" cy="28098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742950</xdr:colOff>
      <xdr:row>34</xdr:row>
      <xdr:rowOff>123825</xdr:rowOff>
    </xdr:from>
    <xdr:to>
      <xdr:col>17</xdr:col>
      <xdr:colOff>219075</xdr:colOff>
      <xdr:row>49</xdr:row>
      <xdr:rowOff>57150</xdr:rowOff>
    </xdr:to>
    <xdr:sp macro="" textlink="">
      <xdr:nvSpPr>
        <xdr:cNvPr id="26" name="Rectangle 25">
          <a:extLst>
            <a:ext uri="{FF2B5EF4-FFF2-40B4-BE49-F238E27FC236}">
              <a16:creationId xmlns:a16="http://schemas.microsoft.com/office/drawing/2014/main" id="{DC433627-9541-4D0D-9DD0-1C9DE8EEBBC6}"/>
            </a:ext>
          </a:extLst>
        </xdr:cNvPr>
        <xdr:cNvSpPr/>
      </xdr:nvSpPr>
      <xdr:spPr>
        <a:xfrm>
          <a:off x="7105650" y="6600825"/>
          <a:ext cx="5876925" cy="279082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34</xdr:row>
      <xdr:rowOff>152400</xdr:rowOff>
    </xdr:from>
    <xdr:to>
      <xdr:col>7</xdr:col>
      <xdr:colOff>581025</xdr:colOff>
      <xdr:row>49</xdr:row>
      <xdr:rowOff>28575</xdr:rowOff>
    </xdr:to>
    <xdr:sp macro="" textlink="">
      <xdr:nvSpPr>
        <xdr:cNvPr id="27" name="Rectangle 26">
          <a:extLst>
            <a:ext uri="{FF2B5EF4-FFF2-40B4-BE49-F238E27FC236}">
              <a16:creationId xmlns:a16="http://schemas.microsoft.com/office/drawing/2014/main" id="{DAC62C90-6475-4D92-BDA2-D94ECBDD0B5E}"/>
            </a:ext>
          </a:extLst>
        </xdr:cNvPr>
        <xdr:cNvSpPr/>
      </xdr:nvSpPr>
      <xdr:spPr>
        <a:xfrm>
          <a:off x="342900" y="6629400"/>
          <a:ext cx="6600825"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190501</xdr:colOff>
      <xdr:row>19</xdr:row>
      <xdr:rowOff>180975</xdr:rowOff>
    </xdr:from>
    <xdr:to>
      <xdr:col>7</xdr:col>
      <xdr:colOff>133350</xdr:colOff>
      <xdr:row>34</xdr:row>
      <xdr:rowOff>42863</xdr:rowOff>
    </xdr:to>
    <xdr:graphicFrame macro="">
      <xdr:nvGraphicFramePr>
        <xdr:cNvPr id="7" name="Chart 6">
          <a:extLst>
            <a:ext uri="{FF2B5EF4-FFF2-40B4-BE49-F238E27FC236}">
              <a16:creationId xmlns:a16="http://schemas.microsoft.com/office/drawing/2014/main" id="{6E2CC153-5D9D-4C81-A5DC-8BC651E7F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390525</xdr:colOff>
      <xdr:row>34</xdr:row>
      <xdr:rowOff>152401</xdr:rowOff>
    </xdr:from>
    <xdr:to>
      <xdr:col>6</xdr:col>
      <xdr:colOff>857250</xdr:colOff>
      <xdr:row>48</xdr:row>
      <xdr:rowOff>152400</xdr:rowOff>
    </xdr:to>
    <xdr:graphicFrame macro="">
      <xdr:nvGraphicFramePr>
        <xdr:cNvPr id="11" name="Chart 10">
          <a:extLst>
            <a:ext uri="{FF2B5EF4-FFF2-40B4-BE49-F238E27FC236}">
              <a16:creationId xmlns:a16="http://schemas.microsoft.com/office/drawing/2014/main" id="{EC0089D7-2B90-4C3B-86DA-841F6E33E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219074</xdr:colOff>
      <xdr:row>35</xdr:row>
      <xdr:rowOff>114301</xdr:rowOff>
    </xdr:from>
    <xdr:to>
      <xdr:col>23</xdr:col>
      <xdr:colOff>400049</xdr:colOff>
      <xdr:row>48</xdr:row>
      <xdr:rowOff>0</xdr:rowOff>
    </xdr:to>
    <xdr:graphicFrame macro="">
      <xdr:nvGraphicFramePr>
        <xdr:cNvPr id="17" name="Chart 16">
          <a:extLst>
            <a:ext uri="{FF2B5EF4-FFF2-40B4-BE49-F238E27FC236}">
              <a16:creationId xmlns:a16="http://schemas.microsoft.com/office/drawing/2014/main" id="{8D657199-8E49-4FCD-AEC9-99D67EB77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xdr:colOff>
      <xdr:row>19</xdr:row>
      <xdr:rowOff>47626</xdr:rowOff>
    </xdr:from>
    <xdr:to>
      <xdr:col>16</xdr:col>
      <xdr:colOff>285751</xdr:colOff>
      <xdr:row>33</xdr:row>
      <xdr:rowOff>123826</xdr:rowOff>
    </xdr:to>
    <xdr:graphicFrame macro="">
      <xdr:nvGraphicFramePr>
        <xdr:cNvPr id="8" name="Chart 7">
          <a:extLst>
            <a:ext uri="{FF2B5EF4-FFF2-40B4-BE49-F238E27FC236}">
              <a16:creationId xmlns:a16="http://schemas.microsoft.com/office/drawing/2014/main" id="{E2D488C2-DCA9-4CB0-8E38-478DC6CD9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819151</xdr:colOff>
      <xdr:row>34</xdr:row>
      <xdr:rowOff>171450</xdr:rowOff>
    </xdr:from>
    <xdr:to>
      <xdr:col>17</xdr:col>
      <xdr:colOff>85725</xdr:colOff>
      <xdr:row>47</xdr:row>
      <xdr:rowOff>180975</xdr:rowOff>
    </xdr:to>
    <xdr:graphicFrame macro="">
      <xdr:nvGraphicFramePr>
        <xdr:cNvPr id="29" name="Chart 28">
          <a:extLst>
            <a:ext uri="{FF2B5EF4-FFF2-40B4-BE49-F238E27FC236}">
              <a16:creationId xmlns:a16="http://schemas.microsoft.com/office/drawing/2014/main" id="{DAEFCD6F-476D-4976-AA41-53502CEAA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352424</xdr:colOff>
      <xdr:row>71</xdr:row>
      <xdr:rowOff>0</xdr:rowOff>
    </xdr:to>
    <xdr:pic>
      <xdr:nvPicPr>
        <xdr:cNvPr id="3" name="Picture 2">
          <a:extLst>
            <a:ext uri="{FF2B5EF4-FFF2-40B4-BE49-F238E27FC236}">
              <a16:creationId xmlns:a16="http://schemas.microsoft.com/office/drawing/2014/main" id="{C42C8BFE-3CEF-7BFE-B394-143D467527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640424" cy="13525500"/>
        </a:xfrm>
        <a:prstGeom prst="rect">
          <a:avLst/>
        </a:prstGeom>
      </xdr:spPr>
    </xdr:pic>
    <xdr:clientData/>
  </xdr:twoCellAnchor>
  <xdr:twoCellAnchor>
    <xdr:from>
      <xdr:col>6</xdr:col>
      <xdr:colOff>66675</xdr:colOff>
      <xdr:row>0</xdr:row>
      <xdr:rowOff>133351</xdr:rowOff>
    </xdr:from>
    <xdr:to>
      <xdr:col>13</xdr:col>
      <xdr:colOff>219075</xdr:colOff>
      <xdr:row>3</xdr:row>
      <xdr:rowOff>9525</xdr:rowOff>
    </xdr:to>
    <xdr:sp macro="" textlink="">
      <xdr:nvSpPr>
        <xdr:cNvPr id="4" name="TextBox 3">
          <a:extLst>
            <a:ext uri="{FF2B5EF4-FFF2-40B4-BE49-F238E27FC236}">
              <a16:creationId xmlns:a16="http://schemas.microsoft.com/office/drawing/2014/main" id="{856B8F4A-B815-5291-B504-98583B644974}"/>
            </a:ext>
          </a:extLst>
        </xdr:cNvPr>
        <xdr:cNvSpPr txBox="1"/>
      </xdr:nvSpPr>
      <xdr:spPr>
        <a:xfrm>
          <a:off x="3724275" y="133351"/>
          <a:ext cx="4419600" cy="44767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Britannic Bold" panose="020B0903060703020204" pitchFamily="34" charset="0"/>
              <a:ea typeface="+mn-ea"/>
              <a:cs typeface="+mn-cs"/>
            </a:rPr>
            <a:t>Samsung Profit Dashboard on Sales</a:t>
          </a:r>
          <a:endParaRPr lang="en-US" sz="2000" b="1">
            <a:solidFill>
              <a:schemeClr val="bg1"/>
            </a:solidFill>
            <a:effectLst/>
            <a:latin typeface="Britannic Bold" panose="020B0903060703020204" pitchFamily="34" charset="0"/>
          </a:endParaRPr>
        </a:p>
        <a:p>
          <a:endParaRPr lang="en-US" sz="2000" b="1">
            <a:solidFill>
              <a:schemeClr val="bg1"/>
            </a:solidFill>
            <a:latin typeface="Britannic Bold" panose="020B0903060703020204" pitchFamily="34" charset="0"/>
          </a:endParaRPr>
        </a:p>
      </xdr:txBody>
    </xdr:sp>
    <xdr:clientData/>
  </xdr:twoCellAnchor>
  <xdr:twoCellAnchor>
    <xdr:from>
      <xdr:col>24</xdr:col>
      <xdr:colOff>19050</xdr:colOff>
      <xdr:row>0</xdr:row>
      <xdr:rowOff>142875</xdr:rowOff>
    </xdr:from>
    <xdr:to>
      <xdr:col>25</xdr:col>
      <xdr:colOff>504825</xdr:colOff>
      <xdr:row>3</xdr:row>
      <xdr:rowOff>9525</xdr:rowOff>
    </xdr:to>
    <xdr:sp macro="" textlink="">
      <xdr:nvSpPr>
        <xdr:cNvPr id="5" name="TextBox 4">
          <a:extLst>
            <a:ext uri="{FF2B5EF4-FFF2-40B4-BE49-F238E27FC236}">
              <a16:creationId xmlns:a16="http://schemas.microsoft.com/office/drawing/2014/main" id="{D9922793-0462-9AFE-B054-4072DAF39ABB}"/>
            </a:ext>
          </a:extLst>
        </xdr:cNvPr>
        <xdr:cNvSpPr txBox="1"/>
      </xdr:nvSpPr>
      <xdr:spPr>
        <a:xfrm>
          <a:off x="14649450" y="142875"/>
          <a:ext cx="1095375" cy="43815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Britannic Bold" panose="020B0903060703020204" pitchFamily="34" charset="0"/>
            </a:rPr>
            <a:t>Slicers</a:t>
          </a:r>
        </a:p>
      </xdr:txBody>
    </xdr:sp>
    <xdr:clientData/>
  </xdr:twoCellAnchor>
  <xdr:twoCellAnchor editAs="oneCell">
    <xdr:from>
      <xdr:col>21</xdr:col>
      <xdr:colOff>428625</xdr:colOff>
      <xdr:row>4</xdr:row>
      <xdr:rowOff>57150</xdr:rowOff>
    </xdr:from>
    <xdr:to>
      <xdr:col>24</xdr:col>
      <xdr:colOff>428625</xdr:colOff>
      <xdr:row>18</xdr:row>
      <xdr:rowOff>57150</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2C2CBA5E-1059-D6A5-E54D-5D2D176383C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230225" y="819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47625</xdr:colOff>
      <xdr:row>4</xdr:row>
      <xdr:rowOff>47625</xdr:rowOff>
    </xdr:from>
    <xdr:to>
      <xdr:col>28</xdr:col>
      <xdr:colOff>47625</xdr:colOff>
      <xdr:row>18</xdr:row>
      <xdr:rowOff>47625</xdr:rowOff>
    </xdr:to>
    <mc:AlternateContent xmlns:mc="http://schemas.openxmlformats.org/markup-compatibility/2006" xmlns:a14="http://schemas.microsoft.com/office/drawing/2010/main">
      <mc:Choice Requires="a14">
        <xdr:graphicFrame macro="">
          <xdr:nvGraphicFramePr>
            <xdr:cNvPr id="14" name="Division 1">
              <a:extLst>
                <a:ext uri="{FF2B5EF4-FFF2-40B4-BE49-F238E27FC236}">
                  <a16:creationId xmlns:a16="http://schemas.microsoft.com/office/drawing/2014/main" id="{BFE41591-846B-4EB4-7E42-D490C3ADC001}"/>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15287625" y="809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76200</xdr:colOff>
      <xdr:row>19</xdr:row>
      <xdr:rowOff>76200</xdr:rowOff>
    </xdr:from>
    <xdr:to>
      <xdr:col>28</xdr:col>
      <xdr:colOff>76200</xdr:colOff>
      <xdr:row>33</xdr:row>
      <xdr:rowOff>28575</xdr:rowOff>
    </xdr:to>
    <mc:AlternateContent xmlns:mc="http://schemas.openxmlformats.org/markup-compatibility/2006" xmlns:a14="http://schemas.microsoft.com/office/drawing/2010/main">
      <mc:Choice Requires="a14">
        <xdr:graphicFrame macro="">
          <xdr:nvGraphicFramePr>
            <xdr:cNvPr id="15" name="Product Type 1">
              <a:extLst>
                <a:ext uri="{FF2B5EF4-FFF2-40B4-BE49-F238E27FC236}">
                  <a16:creationId xmlns:a16="http://schemas.microsoft.com/office/drawing/2014/main" id="{FCA116BC-7092-8235-347D-601C8F89040E}"/>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15316200" y="3695700"/>
              <a:ext cx="1828800" cy="261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466725</xdr:colOff>
      <xdr:row>19</xdr:row>
      <xdr:rowOff>57150</xdr:rowOff>
    </xdr:from>
    <xdr:to>
      <xdr:col>24</xdr:col>
      <xdr:colOff>466725</xdr:colOff>
      <xdr:row>33</xdr:row>
      <xdr:rowOff>57150</xdr:rowOff>
    </xdr:to>
    <mc:AlternateContent xmlns:mc="http://schemas.openxmlformats.org/markup-compatibility/2006" xmlns:a14="http://schemas.microsoft.com/office/drawing/2010/main">
      <mc:Choice Requires="a14">
        <xdr:graphicFrame macro="">
          <xdr:nvGraphicFramePr>
            <xdr:cNvPr id="16" name="Order Method 1">
              <a:extLst>
                <a:ext uri="{FF2B5EF4-FFF2-40B4-BE49-F238E27FC236}">
                  <a16:creationId xmlns:a16="http://schemas.microsoft.com/office/drawing/2014/main" id="{11D0CFFA-D984-4218-8856-79B41B93CD99}"/>
                </a:ext>
              </a:extLst>
            </xdr:cNvPr>
            <xdr:cNvGraphicFramePr/>
          </xdr:nvGraphicFramePr>
          <xdr:xfrm>
            <a:off x="0" y="0"/>
            <a:ext cx="0" cy="0"/>
          </xdr:xfrm>
          <a:graphic>
            <a:graphicData uri="http://schemas.microsoft.com/office/drawing/2010/slicer">
              <sle:slicer xmlns:sle="http://schemas.microsoft.com/office/drawing/2010/slicer" name="Order Method 1"/>
            </a:graphicData>
          </a:graphic>
        </xdr:graphicFrame>
      </mc:Choice>
      <mc:Fallback xmlns="">
        <xdr:sp macro="" textlink="">
          <xdr:nvSpPr>
            <xdr:cNvPr id="0" name=""/>
            <xdr:cNvSpPr>
              <a:spLocks noTextEdit="1"/>
            </xdr:cNvSpPr>
          </xdr:nvSpPr>
          <xdr:spPr>
            <a:xfrm>
              <a:off x="13268325" y="3676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200024</xdr:colOff>
      <xdr:row>4</xdr:row>
      <xdr:rowOff>28575</xdr:rowOff>
    </xdr:from>
    <xdr:to>
      <xdr:col>10</xdr:col>
      <xdr:colOff>200025</xdr:colOff>
      <xdr:row>18</xdr:row>
      <xdr:rowOff>95250</xdr:rowOff>
    </xdr:to>
    <xdr:sp macro="" textlink="">
      <xdr:nvSpPr>
        <xdr:cNvPr id="18" name="Rectangle 17">
          <a:extLst>
            <a:ext uri="{FF2B5EF4-FFF2-40B4-BE49-F238E27FC236}">
              <a16:creationId xmlns:a16="http://schemas.microsoft.com/office/drawing/2014/main" id="{F621A78C-1FF5-4D55-9B58-0836F33FC1EF}"/>
            </a:ext>
          </a:extLst>
        </xdr:cNvPr>
        <xdr:cNvSpPr/>
      </xdr:nvSpPr>
      <xdr:spPr>
        <a:xfrm>
          <a:off x="200024" y="790575"/>
          <a:ext cx="6096001"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19</xdr:row>
      <xdr:rowOff>152400</xdr:rowOff>
    </xdr:from>
    <xdr:to>
      <xdr:col>10</xdr:col>
      <xdr:colOff>219074</xdr:colOff>
      <xdr:row>33</xdr:row>
      <xdr:rowOff>180975</xdr:rowOff>
    </xdr:to>
    <xdr:sp macro="" textlink="">
      <xdr:nvSpPr>
        <xdr:cNvPr id="19" name="Rectangle 18">
          <a:extLst>
            <a:ext uri="{FF2B5EF4-FFF2-40B4-BE49-F238E27FC236}">
              <a16:creationId xmlns:a16="http://schemas.microsoft.com/office/drawing/2014/main" id="{D9500E11-7E59-40F7-8B17-758543514112}"/>
            </a:ext>
          </a:extLst>
        </xdr:cNvPr>
        <xdr:cNvSpPr/>
      </xdr:nvSpPr>
      <xdr:spPr>
        <a:xfrm>
          <a:off x="190499" y="3771900"/>
          <a:ext cx="6124575" cy="26955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409575</xdr:colOff>
      <xdr:row>4</xdr:row>
      <xdr:rowOff>28575</xdr:rowOff>
    </xdr:from>
    <xdr:to>
      <xdr:col>20</xdr:col>
      <xdr:colOff>561976</xdr:colOff>
      <xdr:row>18</xdr:row>
      <xdr:rowOff>123825</xdr:rowOff>
    </xdr:to>
    <xdr:sp macro="" textlink="">
      <xdr:nvSpPr>
        <xdr:cNvPr id="20" name="Rectangle 19">
          <a:extLst>
            <a:ext uri="{FF2B5EF4-FFF2-40B4-BE49-F238E27FC236}">
              <a16:creationId xmlns:a16="http://schemas.microsoft.com/office/drawing/2014/main" id="{38A05A5E-325B-4D1D-8127-A8D5F07DDDBF}"/>
            </a:ext>
          </a:extLst>
        </xdr:cNvPr>
        <xdr:cNvSpPr/>
      </xdr:nvSpPr>
      <xdr:spPr>
        <a:xfrm>
          <a:off x="6505575" y="790575"/>
          <a:ext cx="6248401" cy="2762250"/>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419100</xdr:colOff>
      <xdr:row>19</xdr:row>
      <xdr:rowOff>142875</xdr:rowOff>
    </xdr:from>
    <xdr:to>
      <xdr:col>20</xdr:col>
      <xdr:colOff>561975</xdr:colOff>
      <xdr:row>34</xdr:row>
      <xdr:rowOff>19050</xdr:rowOff>
    </xdr:to>
    <xdr:sp macro="" textlink="">
      <xdr:nvSpPr>
        <xdr:cNvPr id="21" name="Rectangle 20">
          <a:extLst>
            <a:ext uri="{FF2B5EF4-FFF2-40B4-BE49-F238E27FC236}">
              <a16:creationId xmlns:a16="http://schemas.microsoft.com/office/drawing/2014/main" id="{5ADAE5A0-9D97-4CD4-B4C8-86CAC5055F6F}"/>
            </a:ext>
          </a:extLst>
        </xdr:cNvPr>
        <xdr:cNvSpPr/>
      </xdr:nvSpPr>
      <xdr:spPr>
        <a:xfrm>
          <a:off x="6515100" y="3762375"/>
          <a:ext cx="6238875"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35</xdr:row>
      <xdr:rowOff>9525</xdr:rowOff>
    </xdr:from>
    <xdr:to>
      <xdr:col>20</xdr:col>
      <xdr:colOff>581025</xdr:colOff>
      <xdr:row>49</xdr:row>
      <xdr:rowOff>76200</xdr:rowOff>
    </xdr:to>
    <xdr:sp macro="" textlink="">
      <xdr:nvSpPr>
        <xdr:cNvPr id="22" name="Rectangle 21">
          <a:extLst>
            <a:ext uri="{FF2B5EF4-FFF2-40B4-BE49-F238E27FC236}">
              <a16:creationId xmlns:a16="http://schemas.microsoft.com/office/drawing/2014/main" id="{9C361D23-84A7-483E-9D8C-DAD7C82A1429}"/>
            </a:ext>
          </a:extLst>
        </xdr:cNvPr>
        <xdr:cNvSpPr/>
      </xdr:nvSpPr>
      <xdr:spPr>
        <a:xfrm>
          <a:off x="180975" y="6677025"/>
          <a:ext cx="12592050" cy="2733675"/>
        </a:xfrm>
        <a:prstGeom prst="rect">
          <a:avLst/>
        </a:prstGeom>
        <a:solidFill>
          <a:schemeClr val="bg1">
            <a:lumMod val="50000"/>
          </a:schemeClr>
        </a:solidFill>
        <a:effectLst>
          <a:glow rad="127000">
            <a:schemeClr val="accent1">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495299</xdr:colOff>
      <xdr:row>35</xdr:row>
      <xdr:rowOff>142874</xdr:rowOff>
    </xdr:from>
    <xdr:to>
      <xdr:col>20</xdr:col>
      <xdr:colOff>485774</xdr:colOff>
      <xdr:row>48</xdr:row>
      <xdr:rowOff>38099</xdr:rowOff>
    </xdr:to>
    <xdr:graphicFrame macro="">
      <xdr:nvGraphicFramePr>
        <xdr:cNvPr id="17" name="Chart 16">
          <a:extLst>
            <a:ext uri="{FF2B5EF4-FFF2-40B4-BE49-F238E27FC236}">
              <a16:creationId xmlns:a16="http://schemas.microsoft.com/office/drawing/2014/main" id="{F6B2C98A-8CDE-49A8-B642-894FAAB1C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66674</xdr:colOff>
      <xdr:row>4</xdr:row>
      <xdr:rowOff>104775</xdr:rowOff>
    </xdr:from>
    <xdr:to>
      <xdr:col>9</xdr:col>
      <xdr:colOff>190499</xdr:colOff>
      <xdr:row>17</xdr:row>
      <xdr:rowOff>152400</xdr:rowOff>
    </xdr:to>
    <xdr:graphicFrame macro="">
      <xdr:nvGraphicFramePr>
        <xdr:cNvPr id="9" name="Chart 8">
          <a:extLst>
            <a:ext uri="{FF2B5EF4-FFF2-40B4-BE49-F238E27FC236}">
              <a16:creationId xmlns:a16="http://schemas.microsoft.com/office/drawing/2014/main" id="{F1940340-1254-4631-A43C-57BB75CE7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457200</xdr:colOff>
      <xdr:row>5</xdr:row>
      <xdr:rowOff>38100</xdr:rowOff>
    </xdr:from>
    <xdr:to>
      <xdr:col>20</xdr:col>
      <xdr:colOff>161925</xdr:colOff>
      <xdr:row>18</xdr:row>
      <xdr:rowOff>28575</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A25CE408-F70E-46DC-B760-FDA216192F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162800" y="990600"/>
              <a:ext cx="5191125" cy="2466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523875</xdr:colOff>
      <xdr:row>20</xdr:row>
      <xdr:rowOff>114300</xdr:rowOff>
    </xdr:from>
    <xdr:to>
      <xdr:col>9</xdr:col>
      <xdr:colOff>390525</xdr:colOff>
      <xdr:row>32</xdr:row>
      <xdr:rowOff>114300</xdr:rowOff>
    </xdr:to>
    <xdr:graphicFrame macro="">
      <xdr:nvGraphicFramePr>
        <xdr:cNvPr id="11" name="Chart 10">
          <a:extLst>
            <a:ext uri="{FF2B5EF4-FFF2-40B4-BE49-F238E27FC236}">
              <a16:creationId xmlns:a16="http://schemas.microsoft.com/office/drawing/2014/main" id="{23392BFD-F09D-4777-83C3-953F80A0B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428624</xdr:colOff>
      <xdr:row>19</xdr:row>
      <xdr:rowOff>133350</xdr:rowOff>
    </xdr:from>
    <xdr:to>
      <xdr:col>20</xdr:col>
      <xdr:colOff>133349</xdr:colOff>
      <xdr:row>33</xdr:row>
      <xdr:rowOff>95250</xdr:rowOff>
    </xdr:to>
    <xdr:graphicFrame macro="">
      <xdr:nvGraphicFramePr>
        <xdr:cNvPr id="12" name="Chart 11">
          <a:extLst>
            <a:ext uri="{FF2B5EF4-FFF2-40B4-BE49-F238E27FC236}">
              <a16:creationId xmlns:a16="http://schemas.microsoft.com/office/drawing/2014/main" id="{85AA4DE7-4B0A-4710-A0F1-0BC718E4F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0</xdr:colOff>
      <xdr:row>12</xdr:row>
      <xdr:rowOff>180975</xdr:rowOff>
    </xdr:from>
    <xdr:to>
      <xdr:col>12</xdr:col>
      <xdr:colOff>600075</xdr:colOff>
      <xdr:row>27</xdr:row>
      <xdr:rowOff>9525</xdr:rowOff>
    </xdr:to>
    <mc:AlternateContent xmlns:mc="http://schemas.openxmlformats.org/markup-compatibility/2006" xmlns:sle15="http://schemas.microsoft.com/office/drawing/2012/slicer">
      <mc:Choice Requires="sle15">
        <xdr:graphicFrame macro="">
          <xdr:nvGraphicFramePr>
            <xdr:cNvPr id="5" name="Sales Rep">
              <a:extLst>
                <a:ext uri="{FF2B5EF4-FFF2-40B4-BE49-F238E27FC236}">
                  <a16:creationId xmlns:a16="http://schemas.microsoft.com/office/drawing/2014/main" id="{3F90954F-638A-D3C6-E686-5DA523691FE2}"/>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6600825" y="2505075"/>
              <a:ext cx="1819275" cy="26860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609599</xdr:colOff>
      <xdr:row>12</xdr:row>
      <xdr:rowOff>180975</xdr:rowOff>
    </xdr:from>
    <xdr:to>
      <xdr:col>15</xdr:col>
      <xdr:colOff>581024</xdr:colOff>
      <xdr:row>26</xdr:row>
      <xdr:rowOff>180975</xdr:rowOff>
    </xdr:to>
    <mc:AlternateContent xmlns:mc="http://schemas.openxmlformats.org/markup-compatibility/2006" xmlns:sle15="http://schemas.microsoft.com/office/drawing/2012/slicer">
      <mc:Choice Requires="sle15">
        <xdr:graphicFrame macro="">
          <xdr:nvGraphicFramePr>
            <xdr:cNvPr id="6" name="Payment Method">
              <a:extLst>
                <a:ext uri="{FF2B5EF4-FFF2-40B4-BE49-F238E27FC236}">
                  <a16:creationId xmlns:a16="http://schemas.microsoft.com/office/drawing/2014/main" id="{8C69767E-4EEB-EBE6-E572-BA26890364C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429624" y="2505075"/>
              <a:ext cx="1800225"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600074</xdr:colOff>
      <xdr:row>12</xdr:row>
      <xdr:rowOff>180975</xdr:rowOff>
    </xdr:from>
    <xdr:to>
      <xdr:col>18</xdr:col>
      <xdr:colOff>923924</xdr:colOff>
      <xdr:row>26</xdr:row>
      <xdr:rowOff>171450</xdr:rowOff>
    </xdr:to>
    <mc:AlternateContent xmlns:mc="http://schemas.openxmlformats.org/markup-compatibility/2006" xmlns:sle15="http://schemas.microsoft.com/office/drawing/2012/slicer">
      <mc:Choice Requires="sle15">
        <xdr:graphicFrame macro="">
          <xdr:nvGraphicFramePr>
            <xdr:cNvPr id="7" name="Q3">
              <a:extLst>
                <a:ext uri="{FF2B5EF4-FFF2-40B4-BE49-F238E27FC236}">
                  <a16:creationId xmlns:a16="http://schemas.microsoft.com/office/drawing/2014/main" id="{BEE468A5-AE95-041E-B7FA-28705CECAB13}"/>
                </a:ext>
              </a:extLst>
            </xdr:cNvPr>
            <xdr:cNvGraphicFramePr/>
          </xdr:nvGraphicFramePr>
          <xdr:xfrm>
            <a:off x="0" y="0"/>
            <a:ext cx="0" cy="0"/>
          </xdr:xfrm>
          <a:graphic>
            <a:graphicData uri="http://schemas.microsoft.com/office/drawing/2010/slicer">
              <sle:slicer xmlns:sle="http://schemas.microsoft.com/office/drawing/2010/slicer" name="Q3"/>
            </a:graphicData>
          </a:graphic>
        </xdr:graphicFrame>
      </mc:Choice>
      <mc:Fallback xmlns="">
        <xdr:sp macro="" textlink="">
          <xdr:nvSpPr>
            <xdr:cNvPr id="0" name=""/>
            <xdr:cNvSpPr>
              <a:spLocks noTextEdit="1"/>
            </xdr:cNvSpPr>
          </xdr:nvSpPr>
          <xdr:spPr>
            <a:xfrm>
              <a:off x="10248899" y="2505075"/>
              <a:ext cx="2085975" cy="2657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600075</xdr:colOff>
          <xdr:row>0</xdr:row>
          <xdr:rowOff>0</xdr:rowOff>
        </xdr:from>
        <xdr:to>
          <xdr:col>9</xdr:col>
          <xdr:colOff>0</xdr:colOff>
          <xdr:row>4</xdr:row>
          <xdr:rowOff>19050</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0400-0000012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Aptos Narrow"/>
                </a:rPr>
                <a:t>Enter Blood Group Information</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9525</xdr:rowOff>
    </xdr:from>
    <xdr:to>
      <xdr:col>8</xdr:col>
      <xdr:colOff>133350</xdr:colOff>
      <xdr:row>15</xdr:row>
      <xdr:rowOff>114300</xdr:rowOff>
    </xdr:to>
    <xdr:graphicFrame macro="">
      <xdr:nvGraphicFramePr>
        <xdr:cNvPr id="2" name="Chart 1">
          <a:extLst>
            <a:ext uri="{FF2B5EF4-FFF2-40B4-BE49-F238E27FC236}">
              <a16:creationId xmlns:a16="http://schemas.microsoft.com/office/drawing/2014/main" id="{FE7F1F71-D3EE-AED2-254F-CEB587684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138112</xdr:colOff>
      <xdr:row>0</xdr:row>
      <xdr:rowOff>0</xdr:rowOff>
    </xdr:from>
    <xdr:to>
      <xdr:col>16</xdr:col>
      <xdr:colOff>0</xdr:colOff>
      <xdr:row>15</xdr:row>
      <xdr:rowOff>114300</xdr:rowOff>
    </xdr:to>
    <xdr:graphicFrame macro="">
      <xdr:nvGraphicFramePr>
        <xdr:cNvPr id="3" name="Chart 3">
          <a:extLst>
            <a:ext uri="{FF2B5EF4-FFF2-40B4-BE49-F238E27FC236}">
              <a16:creationId xmlns:a16="http://schemas.microsoft.com/office/drawing/2014/main" id="{C84069E2-0CF0-B45C-D223-7D614450B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142875</xdr:colOff>
      <xdr:row>15</xdr:row>
      <xdr:rowOff>114299</xdr:rowOff>
    </xdr:from>
    <xdr:to>
      <xdr:col>10</xdr:col>
      <xdr:colOff>466725</xdr:colOff>
      <xdr:row>29</xdr:row>
      <xdr:rowOff>180974</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B54F44D1-2378-6285-C771-DA47198E9D1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019675" y="2971799"/>
              <a:ext cx="1543050"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485775</xdr:colOff>
      <xdr:row>15</xdr:row>
      <xdr:rowOff>104774</xdr:rowOff>
    </xdr:from>
    <xdr:to>
      <xdr:col>13</xdr:col>
      <xdr:colOff>57150</xdr:colOff>
      <xdr:row>29</xdr:row>
      <xdr:rowOff>161925</xdr:rowOff>
    </xdr:to>
    <mc:AlternateContent xmlns:mc="http://schemas.openxmlformats.org/markup-compatibility/2006" xmlns:a14="http://schemas.microsoft.com/office/drawing/2010/main">
      <mc:Choice Requires="a14">
        <xdr:graphicFrame macro="">
          <xdr:nvGraphicFramePr>
            <xdr:cNvPr id="5" name="Car 1">
              <a:extLst>
                <a:ext uri="{FF2B5EF4-FFF2-40B4-BE49-F238E27FC236}">
                  <a16:creationId xmlns:a16="http://schemas.microsoft.com/office/drawing/2014/main" id="{A127BC13-E5F6-2B75-E2E2-A3C955900355}"/>
                </a:ext>
              </a:extLst>
            </xdr:cNvPr>
            <xdr:cNvGraphicFramePr/>
          </xdr:nvGraphicFramePr>
          <xdr:xfrm>
            <a:off x="0" y="0"/>
            <a:ext cx="0" cy="0"/>
          </xdr:xfrm>
          <a:graphic>
            <a:graphicData uri="http://schemas.microsoft.com/office/drawing/2010/slicer">
              <sle:slicer xmlns:sle="http://schemas.microsoft.com/office/drawing/2010/slicer" name="Car 1"/>
            </a:graphicData>
          </a:graphic>
        </xdr:graphicFrame>
      </mc:Choice>
      <mc:Fallback xmlns="">
        <xdr:sp macro="" textlink="">
          <xdr:nvSpPr>
            <xdr:cNvPr id="0" name=""/>
            <xdr:cNvSpPr>
              <a:spLocks noTextEdit="1"/>
            </xdr:cNvSpPr>
          </xdr:nvSpPr>
          <xdr:spPr>
            <a:xfrm>
              <a:off x="6581775" y="2962274"/>
              <a:ext cx="1400175" cy="2724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xdr:colOff>
      <xdr:row>15</xdr:row>
      <xdr:rowOff>104774</xdr:rowOff>
    </xdr:from>
    <xdr:to>
      <xdr:col>15</xdr:col>
      <xdr:colOff>600075</xdr:colOff>
      <xdr:row>29</xdr:row>
      <xdr:rowOff>171449</xdr:rowOff>
    </xdr:to>
    <mc:AlternateContent xmlns:mc="http://schemas.openxmlformats.org/markup-compatibility/2006" xmlns:a14="http://schemas.microsoft.com/office/drawing/2010/main">
      <mc:Choice Requires="a14">
        <xdr:graphicFrame macro="">
          <xdr:nvGraphicFramePr>
            <xdr:cNvPr id="6" name="Type 1">
              <a:extLst>
                <a:ext uri="{FF2B5EF4-FFF2-40B4-BE49-F238E27FC236}">
                  <a16:creationId xmlns:a16="http://schemas.microsoft.com/office/drawing/2014/main" id="{78D27A04-B2C6-4616-4F9C-96B46CD474A3}"/>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7953375" y="2962274"/>
              <a:ext cx="1790700"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15</xdr:row>
      <xdr:rowOff>119062</xdr:rowOff>
    </xdr:from>
    <xdr:to>
      <xdr:col>8</xdr:col>
      <xdr:colOff>161925</xdr:colOff>
      <xdr:row>30</xdr:row>
      <xdr:rowOff>0</xdr:rowOff>
    </xdr:to>
    <xdr:graphicFrame macro="">
      <xdr:nvGraphicFramePr>
        <xdr:cNvPr id="7" name="Chart 7">
          <a:extLst>
            <a:ext uri="{FF2B5EF4-FFF2-40B4-BE49-F238E27FC236}">
              <a16:creationId xmlns:a16="http://schemas.microsoft.com/office/drawing/2014/main" id="{05497539-4CB4-2B7C-7DC7-E6A971F5A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2</xdr:row>
      <xdr:rowOff>14287</xdr:rowOff>
    </xdr:from>
    <xdr:to>
      <xdr:col>10</xdr:col>
      <xdr:colOff>28575</xdr:colOff>
      <xdr:row>15</xdr:row>
      <xdr:rowOff>9525</xdr:rowOff>
    </xdr:to>
    <xdr:graphicFrame macro="">
      <xdr:nvGraphicFramePr>
        <xdr:cNvPr id="2" name="Chart 1">
          <a:extLst>
            <a:ext uri="{FF2B5EF4-FFF2-40B4-BE49-F238E27FC236}">
              <a16:creationId xmlns:a16="http://schemas.microsoft.com/office/drawing/2014/main" id="{60CB09DF-3AD4-C22F-3A8E-8BB6990CD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14287</xdr:colOff>
      <xdr:row>1</xdr:row>
      <xdr:rowOff>185738</xdr:rowOff>
    </xdr:from>
    <xdr:to>
      <xdr:col>10</xdr:col>
      <xdr:colOff>600075</xdr:colOff>
      <xdr:row>15</xdr:row>
      <xdr:rowOff>19050</xdr:rowOff>
    </xdr:to>
    <xdr:graphicFrame macro="">
      <xdr:nvGraphicFramePr>
        <xdr:cNvPr id="3" name="Chart 2">
          <a:extLst>
            <a:ext uri="{FF2B5EF4-FFF2-40B4-BE49-F238E27FC236}">
              <a16:creationId xmlns:a16="http://schemas.microsoft.com/office/drawing/2014/main" id="{5D177962-94DD-2E0F-4FED-CCF13125C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600075</xdr:colOff>
      <xdr:row>2</xdr:row>
      <xdr:rowOff>14287</xdr:rowOff>
    </xdr:from>
    <xdr:to>
      <xdr:col>12</xdr:col>
      <xdr:colOff>19051</xdr:colOff>
      <xdr:row>14</xdr:row>
      <xdr:rowOff>180975</xdr:rowOff>
    </xdr:to>
    <xdr:graphicFrame macro="">
      <xdr:nvGraphicFramePr>
        <xdr:cNvPr id="2" name="Chart 1">
          <a:extLst>
            <a:ext uri="{FF2B5EF4-FFF2-40B4-BE49-F238E27FC236}">
              <a16:creationId xmlns:a16="http://schemas.microsoft.com/office/drawing/2014/main" id="{1B6BAA21-B8DE-D1DB-C3B3-99DEFB870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600075</xdr:colOff>
      <xdr:row>1</xdr:row>
      <xdr:rowOff>185737</xdr:rowOff>
    </xdr:from>
    <xdr:to>
      <xdr:col>13</xdr:col>
      <xdr:colOff>0</xdr:colOff>
      <xdr:row>16</xdr:row>
      <xdr:rowOff>180975</xdr:rowOff>
    </xdr:to>
    <xdr:graphicFrame macro="">
      <xdr:nvGraphicFramePr>
        <xdr:cNvPr id="3" name="Chart 2">
          <a:extLst>
            <a:ext uri="{FF2B5EF4-FFF2-40B4-BE49-F238E27FC236}">
              <a16:creationId xmlns:a16="http://schemas.microsoft.com/office/drawing/2014/main" id="{E4AFAEF6-B7F2-C70A-31E4-069E2ABAB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1466850</xdr:colOff>
      <xdr:row>1</xdr:row>
      <xdr:rowOff>185737</xdr:rowOff>
    </xdr:from>
    <xdr:to>
      <xdr:col>14</xdr:col>
      <xdr:colOff>266700</xdr:colOff>
      <xdr:row>17</xdr:row>
      <xdr:rowOff>180975</xdr:rowOff>
    </xdr:to>
    <xdr:graphicFrame macro="">
      <xdr:nvGraphicFramePr>
        <xdr:cNvPr id="3" name="Chart 2">
          <a:extLst>
            <a:ext uri="{FF2B5EF4-FFF2-40B4-BE49-F238E27FC236}">
              <a16:creationId xmlns:a16="http://schemas.microsoft.com/office/drawing/2014/main" id="{633CBBB1-15C6-00D4-15DF-F204AFCBA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1</xdr:row>
      <xdr:rowOff>176212</xdr:rowOff>
    </xdr:from>
    <xdr:to>
      <xdr:col>23</xdr:col>
      <xdr:colOff>47625</xdr:colOff>
      <xdr:row>17</xdr:row>
      <xdr:rowOff>180976</xdr:rowOff>
    </xdr:to>
    <xdr:graphicFrame macro="">
      <xdr:nvGraphicFramePr>
        <xdr:cNvPr id="4" name="Chart 3">
          <a:extLst>
            <a:ext uri="{FF2B5EF4-FFF2-40B4-BE49-F238E27FC236}">
              <a16:creationId xmlns:a16="http://schemas.microsoft.com/office/drawing/2014/main" id="{0FC3ED09-4B8D-8904-6868-C38749F61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2</xdr:row>
      <xdr:rowOff>14287</xdr:rowOff>
    </xdr:from>
    <xdr:to>
      <xdr:col>7</xdr:col>
      <xdr:colOff>0</xdr:colOff>
      <xdr:row>10</xdr:row>
      <xdr:rowOff>19050</xdr:rowOff>
    </xdr:to>
    <xdr:graphicFrame macro="">
      <xdr:nvGraphicFramePr>
        <xdr:cNvPr id="2" name="Chart 1">
          <a:extLst>
            <a:ext uri="{FF2B5EF4-FFF2-40B4-BE49-F238E27FC236}">
              <a16:creationId xmlns:a16="http://schemas.microsoft.com/office/drawing/2014/main" id="{691681C9-072B-F62B-D167-DC9EFDE68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9525</xdr:colOff>
      <xdr:row>2</xdr:row>
      <xdr:rowOff>14287</xdr:rowOff>
    </xdr:from>
    <xdr:to>
      <xdr:col>9</xdr:col>
      <xdr:colOff>0</xdr:colOff>
      <xdr:row>15</xdr:row>
      <xdr:rowOff>9525</xdr:rowOff>
    </xdr:to>
    <xdr:graphicFrame macro="">
      <xdr:nvGraphicFramePr>
        <xdr:cNvPr id="2" name="Chart 1">
          <a:extLst>
            <a:ext uri="{FF2B5EF4-FFF2-40B4-BE49-F238E27FC236}">
              <a16:creationId xmlns:a16="http://schemas.microsoft.com/office/drawing/2014/main" id="{184F68F3-4A43-1448-D272-7A6435447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9525</xdr:colOff>
      <xdr:row>2</xdr:row>
      <xdr:rowOff>14287</xdr:rowOff>
    </xdr:from>
    <xdr:to>
      <xdr:col>13</xdr:col>
      <xdr:colOff>600075</xdr:colOff>
      <xdr:row>17</xdr:row>
      <xdr:rowOff>28575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5EE161B-D5D7-E05F-A88F-4B44ACC297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62675" y="395287"/>
              <a:ext cx="3638550" cy="28717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4</xdr:col>
      <xdr:colOff>9525</xdr:colOff>
      <xdr:row>2</xdr:row>
      <xdr:rowOff>4762</xdr:rowOff>
    </xdr:from>
    <xdr:to>
      <xdr:col>10</xdr:col>
      <xdr:colOff>0</xdr:colOff>
      <xdr:row>15</xdr:row>
      <xdr:rowOff>0</xdr:rowOff>
    </xdr:to>
    <xdr:graphicFrame macro="">
      <xdr:nvGraphicFramePr>
        <xdr:cNvPr id="2" name="Chart 1">
          <a:extLst>
            <a:ext uri="{FF2B5EF4-FFF2-40B4-BE49-F238E27FC236}">
              <a16:creationId xmlns:a16="http://schemas.microsoft.com/office/drawing/2014/main" id="{57D4C9B9-7DC6-C040-85D2-209F5FC68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0</xdr:colOff>
      <xdr:row>2</xdr:row>
      <xdr:rowOff>4762</xdr:rowOff>
    </xdr:from>
    <xdr:to>
      <xdr:col>6</xdr:col>
      <xdr:colOff>600075</xdr:colOff>
      <xdr:row>9</xdr:row>
      <xdr:rowOff>0</xdr:rowOff>
    </xdr:to>
    <xdr:graphicFrame macro="">
      <xdr:nvGraphicFramePr>
        <xdr:cNvPr id="2" name="Chart 1">
          <a:extLst>
            <a:ext uri="{FF2B5EF4-FFF2-40B4-BE49-F238E27FC236}">
              <a16:creationId xmlns:a16="http://schemas.microsoft.com/office/drawing/2014/main" id="{84F1F05D-3E54-C401-FAA8-31F3476AE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609599</xdr:colOff>
      <xdr:row>1</xdr:row>
      <xdr:rowOff>185737</xdr:rowOff>
    </xdr:from>
    <xdr:to>
      <xdr:col>11</xdr:col>
      <xdr:colOff>590550</xdr:colOff>
      <xdr:row>11</xdr:row>
      <xdr:rowOff>180975</xdr:rowOff>
    </xdr:to>
    <xdr:graphicFrame macro="">
      <xdr:nvGraphicFramePr>
        <xdr:cNvPr id="2" name="Chart 1">
          <a:extLst>
            <a:ext uri="{FF2B5EF4-FFF2-40B4-BE49-F238E27FC236}">
              <a16:creationId xmlns:a16="http://schemas.microsoft.com/office/drawing/2014/main" id="{A4992A65-39AF-CE5F-498F-42C186380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bil" refreshedDate="45751.608068287038" createdVersion="8" refreshedVersion="8" minRefreshableVersion="3" recordCount="20" xr:uid="{320EB5E1-62D5-4FC1-B871-BF5057B9F4D4}">
  <cacheSource type="worksheet">
    <worksheetSource ref="A1:E21" sheet="Table 1"/>
  </cacheSource>
  <cacheFields count="5">
    <cacheField name="Year" numFmtId="0">
      <sharedItems containsSemiMixedTypes="0" containsString="0" containsNumber="1" containsInteger="1" minValue="2017" maxValue="2021" count="5">
        <n v="2019"/>
        <n v="2020"/>
        <n v="2021"/>
        <n v="2017"/>
        <n v="2018"/>
      </sharedItems>
    </cacheField>
    <cacheField name="Car" numFmtId="0">
      <sharedItems count="8">
        <s v="Suzuki"/>
        <s v="Hyundai"/>
        <s v="Nissan"/>
        <s v="BMW"/>
        <s v="Ford"/>
        <s v="Ferrari"/>
        <s v="Mercedes"/>
        <s v="Lamborghini"/>
      </sharedItems>
    </cacheField>
    <cacheField name="Type" numFmtId="0">
      <sharedItems count="6">
        <s v="Coupe"/>
        <s v="Hatch-Back"/>
        <s v="Cruiser"/>
        <s v="GT"/>
        <s v="SUV"/>
        <s v="Sports"/>
      </sharedItems>
    </cacheField>
    <cacheField name="Quantity" numFmtId="0">
      <sharedItems containsSemiMixedTypes="0" containsString="0" containsNumber="1" containsInteger="1" minValue="1" maxValue="7"/>
    </cacheField>
    <cacheField name="Price" numFmtId="0">
      <sharedItems containsSemiMixedTypes="0" containsString="0" containsNumber="1" containsInteger="1" minValue="35000" maxValue="350000"/>
    </cacheField>
  </cacheFields>
  <extLst>
    <ext xmlns:x14="http://schemas.microsoft.com/office/spreadsheetml/2009/9/main" uri="{725AE2AE-9491-48be-B2B4-4EB974FC3084}">
      <x14:pivotCacheDefinition pivotCacheId="14091514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bil" refreshedDate="45753.311240625" createdVersion="8" refreshedVersion="8" minRefreshableVersion="3" recordCount="640" xr:uid="{C0437835-F174-42B5-8EC9-7072CB0A678C}">
  <cacheSource type="worksheet">
    <worksheetSource ref="A1:G641" sheet="Dashboard Data"/>
  </cacheSource>
  <cacheFields count="7">
    <cacheField name="Year" numFmtId="0">
      <sharedItems containsSemiMixedTypes="0" containsString="0" containsNumber="1" containsInteger="1" minValue="2020" maxValue="2024" count="5">
        <n v="2020"/>
        <n v="2021"/>
        <n v="2022"/>
        <n v="2023"/>
        <n v="2024"/>
      </sharedItems>
    </cacheField>
    <cacheField name="Division" numFmtId="0">
      <sharedItems count="8">
        <s v="Dhaka"/>
        <s v="Chattogram"/>
        <s v="Khulna"/>
        <s v="Rajshahi"/>
        <s v="Barisal"/>
        <s v="Sylhet"/>
        <s v="Rangpur"/>
        <s v="Mymensingh"/>
      </sharedItems>
    </cacheField>
    <cacheField name="Product Type" numFmtId="0">
      <sharedItems count="8">
        <s v="Smartphones"/>
        <s v="TVs"/>
        <s v="Refrigerators"/>
        <s v="Washing Machines"/>
        <s v="ACs"/>
        <s v="Monitors"/>
        <s v="Tablets"/>
        <s v="Wearables"/>
      </sharedItems>
    </cacheField>
    <cacheField name="Order Method" numFmtId="0">
      <sharedItems count="2">
        <s v="Online"/>
        <s v="Offline"/>
      </sharedItems>
    </cacheField>
    <cacheField name="Cost (BDT Cr)" numFmtId="0">
      <sharedItems containsSemiMixedTypes="0" containsString="0" containsNumber="1" containsInteger="1" minValue="40" maxValue="260"/>
    </cacheField>
    <cacheField name="Profit (BDT Cr)" numFmtId="0">
      <sharedItems containsSemiMixedTypes="0" containsString="0" containsNumber="1" containsInteger="1" minValue="10" maxValue="110"/>
    </cacheField>
    <cacheField name="Revenue (BDT Cr)" numFmtId="0">
      <sharedItems containsSemiMixedTypes="0" containsString="0" containsNumber="1" containsInteger="1" minValue="54" maxValue="361" count="244">
        <n v="123"/>
        <n v="124"/>
        <n v="216"/>
        <n v="185"/>
        <n v="118"/>
        <n v="212"/>
        <n v="330"/>
        <n v="213"/>
        <n v="215"/>
        <n v="290"/>
        <n v="245"/>
        <n v="296"/>
        <n v="94"/>
        <n v="205"/>
        <n v="327"/>
        <n v="174"/>
        <n v="294"/>
        <n v="145"/>
        <n v="188"/>
        <n v="217"/>
        <n v="137"/>
        <n v="207"/>
        <n v="301"/>
        <n v="160"/>
        <n v="121"/>
        <n v="230"/>
        <n v="161"/>
        <n v="158"/>
        <n v="186"/>
        <n v="293"/>
        <n v="221"/>
        <n v="141"/>
        <n v="277"/>
        <n v="112"/>
        <n v="259"/>
        <n v="240"/>
        <n v="194"/>
        <n v="243"/>
        <n v="159"/>
        <n v="191"/>
        <n v="179"/>
        <n v="289"/>
        <n v="360"/>
        <n v="146"/>
        <n v="196"/>
        <n v="234"/>
        <n v="282"/>
        <n v="281"/>
        <n v="273"/>
        <n v="163"/>
        <n v="231"/>
        <n v="318"/>
        <n v="109"/>
        <n v="166"/>
        <n v="180"/>
        <n v="218"/>
        <n v="238"/>
        <n v="210"/>
        <n v="169"/>
        <n v="147"/>
        <n v="183"/>
        <n v="316"/>
        <n v="111"/>
        <n v="178"/>
        <n v="291"/>
        <n v="302"/>
        <n v="279"/>
        <n v="340"/>
        <n v="84"/>
        <n v="250"/>
        <n v="331"/>
        <n v="96"/>
        <n v="198"/>
        <n v="283"/>
        <n v="246"/>
        <n v="274"/>
        <n v="247"/>
        <n v="184"/>
        <n v="74"/>
        <n v="122"/>
        <n v="165"/>
        <n v="332"/>
        <n v="333"/>
        <n v="244"/>
        <n v="154"/>
        <n v="142"/>
        <n v="144"/>
        <n v="208"/>
        <n v="237"/>
        <n v="320"/>
        <n v="150"/>
        <n v="310"/>
        <n v="308"/>
        <n v="148"/>
        <n v="278"/>
        <n v="307"/>
        <n v="228"/>
        <n v="200"/>
        <n v="108"/>
        <n v="175"/>
        <n v="117"/>
        <n v="164"/>
        <n v="329"/>
        <n v="97"/>
        <n v="199"/>
        <n v="345"/>
        <n v="257"/>
        <n v="309"/>
        <n v="280"/>
        <n v="151"/>
        <n v="313"/>
        <n v="252"/>
        <n v="311"/>
        <n v="138"/>
        <n v="190"/>
        <n v="226"/>
        <n v="90"/>
        <n v="162"/>
        <n v="120"/>
        <n v="206"/>
        <n v="235"/>
        <n v="156"/>
        <n v="292"/>
        <n v="132"/>
        <n v="201"/>
        <n v="348"/>
        <n v="251"/>
        <n v="266"/>
        <n v="193"/>
        <n v="263"/>
        <n v="209"/>
        <n v="344"/>
        <n v="288"/>
        <n v="225"/>
        <n v="101"/>
        <n v="130"/>
        <n v="233"/>
        <n v="321"/>
        <n v="119"/>
        <n v="287"/>
        <n v="239"/>
        <n v="328"/>
        <n v="129"/>
        <n v="65"/>
        <n v="242"/>
        <n v="100"/>
        <n v="314"/>
        <n v="91"/>
        <n v="223"/>
        <n v="276"/>
        <n v="261"/>
        <n v="93"/>
        <n v="271"/>
        <n v="255"/>
        <n v="89"/>
        <n v="354"/>
        <n v="285"/>
        <n v="272"/>
        <n v="155"/>
        <n v="102"/>
        <n v="335"/>
        <n v="336"/>
        <n v="222"/>
        <n v="350"/>
        <n v="139"/>
        <n v="262"/>
        <n v="219"/>
        <n v="85"/>
        <n v="197"/>
        <n v="202"/>
        <n v="61"/>
        <n v="275"/>
        <n v="60"/>
        <n v="236"/>
        <n v="170"/>
        <n v="214"/>
        <n v="220"/>
        <n v="342"/>
        <n v="173"/>
        <n v="187"/>
        <n v="305"/>
        <n v="157"/>
        <n v="204"/>
        <n v="203"/>
        <n v="113"/>
        <n v="182"/>
        <n v="295"/>
        <n v="286"/>
        <n v="99"/>
        <n v="297"/>
        <n v="253"/>
        <n v="176"/>
        <n v="355"/>
        <n v="229"/>
        <n v="134"/>
        <n v="256"/>
        <n v="269"/>
        <n v="260"/>
        <n v="54"/>
        <n v="153"/>
        <n v="254"/>
        <n v="258"/>
        <n v="304"/>
        <n v="326"/>
        <n v="267"/>
        <n v="87"/>
        <n v="167"/>
        <n v="312"/>
        <n v="361"/>
        <n v="227"/>
        <n v="357"/>
        <n v="264"/>
        <n v="298"/>
        <n v="149"/>
        <n v="268"/>
        <n v="270"/>
        <n v="349"/>
        <n v="136"/>
        <n v="110"/>
        <n v="177"/>
        <n v="241"/>
        <n v="125"/>
        <n v="76"/>
        <n v="347"/>
        <n v="133"/>
        <n v="140"/>
        <n v="265"/>
        <n v="86"/>
        <n v="181"/>
        <n v="248"/>
        <n v="195"/>
        <n v="171"/>
        <n v="114"/>
        <n v="128"/>
        <n v="98"/>
        <n v="168"/>
        <n v="56"/>
        <n v="116"/>
        <n v="284"/>
        <n v="192"/>
        <n v="339"/>
        <n v="127"/>
        <n v="232"/>
        <n v="106"/>
      </sharedItems>
    </cacheField>
  </cacheFields>
  <extLst>
    <ext xmlns:x14="http://schemas.microsoft.com/office/spreadsheetml/2009/9/main" uri="{725AE2AE-9491-48be-B2B4-4EB974FC3084}">
      <x14:pivotCacheDefinition pivotCacheId="469757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3"/>
    <n v="35000"/>
  </r>
  <r>
    <x v="0"/>
    <x v="1"/>
    <x v="1"/>
    <n v="5"/>
    <n v="85000"/>
  </r>
  <r>
    <x v="1"/>
    <x v="2"/>
    <x v="2"/>
    <n v="6"/>
    <n v="150000"/>
  </r>
  <r>
    <x v="1"/>
    <x v="3"/>
    <x v="3"/>
    <n v="4"/>
    <n v="85000"/>
  </r>
  <r>
    <x v="2"/>
    <x v="4"/>
    <x v="4"/>
    <n v="2"/>
    <n v="50000"/>
  </r>
  <r>
    <x v="2"/>
    <x v="5"/>
    <x v="5"/>
    <n v="5"/>
    <n v="125000"/>
  </r>
  <r>
    <x v="3"/>
    <x v="6"/>
    <x v="3"/>
    <n v="1"/>
    <n v="120000"/>
  </r>
  <r>
    <x v="3"/>
    <x v="7"/>
    <x v="5"/>
    <n v="4"/>
    <n v="250000"/>
  </r>
  <r>
    <x v="4"/>
    <x v="1"/>
    <x v="0"/>
    <n v="5"/>
    <n v="40000"/>
  </r>
  <r>
    <x v="4"/>
    <x v="2"/>
    <x v="3"/>
    <n v="4"/>
    <n v="220000"/>
  </r>
  <r>
    <x v="0"/>
    <x v="3"/>
    <x v="5"/>
    <n v="7"/>
    <n v="120000"/>
  </r>
  <r>
    <x v="0"/>
    <x v="4"/>
    <x v="1"/>
    <n v="3"/>
    <n v="35000"/>
  </r>
  <r>
    <x v="1"/>
    <x v="5"/>
    <x v="5"/>
    <n v="4"/>
    <n v="300000"/>
  </r>
  <r>
    <x v="1"/>
    <x v="5"/>
    <x v="5"/>
    <n v="3"/>
    <n v="250000"/>
  </r>
  <r>
    <x v="2"/>
    <x v="6"/>
    <x v="5"/>
    <n v="4"/>
    <n v="170000"/>
  </r>
  <r>
    <x v="2"/>
    <x v="7"/>
    <x v="4"/>
    <n v="2"/>
    <n v="350000"/>
  </r>
  <r>
    <x v="3"/>
    <x v="1"/>
    <x v="4"/>
    <n v="1"/>
    <n v="80000"/>
  </r>
  <r>
    <x v="3"/>
    <x v="7"/>
    <x v="4"/>
    <n v="4"/>
    <n v="250000"/>
  </r>
  <r>
    <x v="4"/>
    <x v="3"/>
    <x v="4"/>
    <n v="2"/>
    <n v="150000"/>
  </r>
  <r>
    <x v="4"/>
    <x v="4"/>
    <x v="3"/>
    <n v="4"/>
    <n v="35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x v="0"/>
    <x v="0"/>
    <x v="0"/>
    <x v="0"/>
    <n v="113"/>
    <n v="10"/>
    <x v="0"/>
  </r>
  <r>
    <x v="0"/>
    <x v="0"/>
    <x v="0"/>
    <x v="1"/>
    <n v="57"/>
    <n v="67"/>
    <x v="1"/>
  </r>
  <r>
    <x v="0"/>
    <x v="0"/>
    <x v="1"/>
    <x v="0"/>
    <n v="161"/>
    <n v="55"/>
    <x v="2"/>
  </r>
  <r>
    <x v="0"/>
    <x v="0"/>
    <x v="1"/>
    <x v="1"/>
    <n v="113"/>
    <n v="72"/>
    <x v="3"/>
  </r>
  <r>
    <x v="0"/>
    <x v="0"/>
    <x v="2"/>
    <x v="0"/>
    <n v="93"/>
    <n v="25"/>
    <x v="4"/>
  </r>
  <r>
    <x v="0"/>
    <x v="0"/>
    <x v="2"/>
    <x v="1"/>
    <n v="110"/>
    <n v="102"/>
    <x v="5"/>
  </r>
  <r>
    <x v="0"/>
    <x v="0"/>
    <x v="3"/>
    <x v="0"/>
    <n v="252"/>
    <n v="78"/>
    <x v="6"/>
  </r>
  <r>
    <x v="0"/>
    <x v="0"/>
    <x v="3"/>
    <x v="1"/>
    <n v="125"/>
    <n v="88"/>
    <x v="7"/>
  </r>
  <r>
    <x v="0"/>
    <x v="0"/>
    <x v="4"/>
    <x v="0"/>
    <n v="191"/>
    <n v="24"/>
    <x v="8"/>
  </r>
  <r>
    <x v="0"/>
    <x v="0"/>
    <x v="4"/>
    <x v="1"/>
    <n v="238"/>
    <n v="52"/>
    <x v="9"/>
  </r>
  <r>
    <x v="0"/>
    <x v="0"/>
    <x v="5"/>
    <x v="0"/>
    <n v="202"/>
    <n v="43"/>
    <x v="10"/>
  </r>
  <r>
    <x v="0"/>
    <x v="0"/>
    <x v="5"/>
    <x v="1"/>
    <n v="222"/>
    <n v="74"/>
    <x v="11"/>
  </r>
  <r>
    <x v="0"/>
    <x v="0"/>
    <x v="6"/>
    <x v="0"/>
    <n v="59"/>
    <n v="35"/>
    <x v="12"/>
  </r>
  <r>
    <x v="0"/>
    <x v="0"/>
    <x v="6"/>
    <x v="1"/>
    <n v="160"/>
    <n v="45"/>
    <x v="13"/>
  </r>
  <r>
    <x v="0"/>
    <x v="0"/>
    <x v="7"/>
    <x v="0"/>
    <n v="227"/>
    <n v="100"/>
    <x v="14"/>
  </r>
  <r>
    <x v="0"/>
    <x v="0"/>
    <x v="7"/>
    <x v="1"/>
    <n v="135"/>
    <n v="39"/>
    <x v="15"/>
  </r>
  <r>
    <x v="0"/>
    <x v="1"/>
    <x v="0"/>
    <x v="0"/>
    <n v="233"/>
    <n v="61"/>
    <x v="16"/>
  </r>
  <r>
    <x v="0"/>
    <x v="1"/>
    <x v="0"/>
    <x v="1"/>
    <n v="59"/>
    <n v="86"/>
    <x v="17"/>
  </r>
  <r>
    <x v="0"/>
    <x v="1"/>
    <x v="1"/>
    <x v="0"/>
    <n v="115"/>
    <n v="73"/>
    <x v="18"/>
  </r>
  <r>
    <x v="0"/>
    <x v="1"/>
    <x v="1"/>
    <x v="1"/>
    <n v="160"/>
    <n v="57"/>
    <x v="19"/>
  </r>
  <r>
    <x v="0"/>
    <x v="1"/>
    <x v="2"/>
    <x v="0"/>
    <n v="56"/>
    <n v="81"/>
    <x v="20"/>
  </r>
  <r>
    <x v="0"/>
    <x v="1"/>
    <x v="2"/>
    <x v="1"/>
    <n v="157"/>
    <n v="50"/>
    <x v="21"/>
  </r>
  <r>
    <x v="0"/>
    <x v="1"/>
    <x v="3"/>
    <x v="0"/>
    <n v="239"/>
    <n v="62"/>
    <x v="22"/>
  </r>
  <r>
    <x v="0"/>
    <x v="1"/>
    <x v="3"/>
    <x v="1"/>
    <n v="110"/>
    <n v="50"/>
    <x v="23"/>
  </r>
  <r>
    <x v="0"/>
    <x v="1"/>
    <x v="4"/>
    <x v="0"/>
    <n v="143"/>
    <n v="70"/>
    <x v="7"/>
  </r>
  <r>
    <x v="0"/>
    <x v="1"/>
    <x v="4"/>
    <x v="1"/>
    <n v="65"/>
    <n v="56"/>
    <x v="24"/>
  </r>
  <r>
    <x v="0"/>
    <x v="1"/>
    <x v="5"/>
    <x v="0"/>
    <n v="187"/>
    <n v="30"/>
    <x v="19"/>
  </r>
  <r>
    <x v="0"/>
    <x v="1"/>
    <x v="5"/>
    <x v="1"/>
    <n v="158"/>
    <n v="72"/>
    <x v="25"/>
  </r>
  <r>
    <x v="0"/>
    <x v="1"/>
    <x v="6"/>
    <x v="0"/>
    <n v="132"/>
    <n v="29"/>
    <x v="26"/>
  </r>
  <r>
    <x v="0"/>
    <x v="1"/>
    <x v="6"/>
    <x v="1"/>
    <n v="87"/>
    <n v="71"/>
    <x v="27"/>
  </r>
  <r>
    <x v="0"/>
    <x v="1"/>
    <x v="7"/>
    <x v="0"/>
    <n v="156"/>
    <n v="30"/>
    <x v="28"/>
  </r>
  <r>
    <x v="0"/>
    <x v="1"/>
    <x v="7"/>
    <x v="1"/>
    <n v="221"/>
    <n v="80"/>
    <x v="22"/>
  </r>
  <r>
    <x v="0"/>
    <x v="2"/>
    <x v="0"/>
    <x v="0"/>
    <n v="243"/>
    <n v="50"/>
    <x v="29"/>
  </r>
  <r>
    <x v="0"/>
    <x v="2"/>
    <x v="0"/>
    <x v="1"/>
    <n v="206"/>
    <n v="15"/>
    <x v="30"/>
  </r>
  <r>
    <x v="0"/>
    <x v="2"/>
    <x v="1"/>
    <x v="0"/>
    <n v="54"/>
    <n v="87"/>
    <x v="31"/>
  </r>
  <r>
    <x v="0"/>
    <x v="2"/>
    <x v="1"/>
    <x v="1"/>
    <n v="182"/>
    <n v="95"/>
    <x v="32"/>
  </r>
  <r>
    <x v="0"/>
    <x v="2"/>
    <x v="2"/>
    <x v="0"/>
    <n v="94"/>
    <n v="18"/>
    <x v="33"/>
  </r>
  <r>
    <x v="0"/>
    <x v="2"/>
    <x v="2"/>
    <x v="1"/>
    <n v="78"/>
    <n v="83"/>
    <x v="26"/>
  </r>
  <r>
    <x v="0"/>
    <x v="2"/>
    <x v="3"/>
    <x v="0"/>
    <n v="219"/>
    <n v="40"/>
    <x v="34"/>
  </r>
  <r>
    <x v="0"/>
    <x v="2"/>
    <x v="3"/>
    <x v="1"/>
    <n v="210"/>
    <n v="30"/>
    <x v="35"/>
  </r>
  <r>
    <x v="0"/>
    <x v="2"/>
    <x v="4"/>
    <x v="0"/>
    <n v="178"/>
    <n v="16"/>
    <x v="36"/>
  </r>
  <r>
    <x v="0"/>
    <x v="2"/>
    <x v="4"/>
    <x v="1"/>
    <n v="190"/>
    <n v="53"/>
    <x v="37"/>
  </r>
  <r>
    <x v="0"/>
    <x v="2"/>
    <x v="5"/>
    <x v="0"/>
    <n v="98"/>
    <n v="61"/>
    <x v="38"/>
  </r>
  <r>
    <x v="0"/>
    <x v="2"/>
    <x v="5"/>
    <x v="1"/>
    <n v="164"/>
    <n v="27"/>
    <x v="39"/>
  </r>
  <r>
    <x v="0"/>
    <x v="2"/>
    <x v="6"/>
    <x v="0"/>
    <n v="99"/>
    <n v="80"/>
    <x v="40"/>
  </r>
  <r>
    <x v="0"/>
    <x v="2"/>
    <x v="6"/>
    <x v="1"/>
    <n v="180"/>
    <n v="109"/>
    <x v="41"/>
  </r>
  <r>
    <x v="0"/>
    <x v="2"/>
    <x v="7"/>
    <x v="0"/>
    <n v="259"/>
    <n v="101"/>
    <x v="42"/>
  </r>
  <r>
    <x v="0"/>
    <x v="2"/>
    <x v="7"/>
    <x v="1"/>
    <n v="114"/>
    <n v="32"/>
    <x v="43"/>
  </r>
  <r>
    <x v="0"/>
    <x v="3"/>
    <x v="0"/>
    <x v="0"/>
    <n v="173"/>
    <n v="23"/>
    <x v="44"/>
  </r>
  <r>
    <x v="0"/>
    <x v="3"/>
    <x v="0"/>
    <x v="1"/>
    <n v="219"/>
    <n v="15"/>
    <x v="45"/>
  </r>
  <r>
    <x v="0"/>
    <x v="3"/>
    <x v="1"/>
    <x v="0"/>
    <n v="213"/>
    <n v="69"/>
    <x v="46"/>
  </r>
  <r>
    <x v="0"/>
    <x v="3"/>
    <x v="1"/>
    <x v="1"/>
    <n v="252"/>
    <n v="29"/>
    <x v="47"/>
  </r>
  <r>
    <x v="0"/>
    <x v="3"/>
    <x v="2"/>
    <x v="0"/>
    <n v="90"/>
    <n v="31"/>
    <x v="24"/>
  </r>
  <r>
    <x v="0"/>
    <x v="3"/>
    <x v="2"/>
    <x v="1"/>
    <n v="221"/>
    <n v="52"/>
    <x v="48"/>
  </r>
  <r>
    <x v="0"/>
    <x v="3"/>
    <x v="3"/>
    <x v="0"/>
    <n v="125"/>
    <n v="38"/>
    <x v="49"/>
  </r>
  <r>
    <x v="0"/>
    <x v="3"/>
    <x v="3"/>
    <x v="1"/>
    <n v="82"/>
    <n v="92"/>
    <x v="15"/>
  </r>
  <r>
    <x v="0"/>
    <x v="3"/>
    <x v="4"/>
    <x v="0"/>
    <n v="175"/>
    <n v="56"/>
    <x v="50"/>
  </r>
  <r>
    <x v="0"/>
    <x v="3"/>
    <x v="4"/>
    <x v="1"/>
    <n v="188"/>
    <n v="94"/>
    <x v="46"/>
  </r>
  <r>
    <x v="0"/>
    <x v="3"/>
    <x v="5"/>
    <x v="0"/>
    <n v="253"/>
    <n v="65"/>
    <x v="51"/>
  </r>
  <r>
    <x v="0"/>
    <x v="3"/>
    <x v="5"/>
    <x v="1"/>
    <n v="42"/>
    <n v="67"/>
    <x v="52"/>
  </r>
  <r>
    <x v="0"/>
    <x v="3"/>
    <x v="6"/>
    <x v="0"/>
    <n v="85"/>
    <n v="81"/>
    <x v="53"/>
  </r>
  <r>
    <x v="0"/>
    <x v="3"/>
    <x v="6"/>
    <x v="1"/>
    <n v="140"/>
    <n v="48"/>
    <x v="18"/>
  </r>
  <r>
    <x v="0"/>
    <x v="3"/>
    <x v="7"/>
    <x v="0"/>
    <n v="97"/>
    <n v="83"/>
    <x v="54"/>
  </r>
  <r>
    <x v="0"/>
    <x v="3"/>
    <x v="7"/>
    <x v="1"/>
    <n v="201"/>
    <n v="17"/>
    <x v="55"/>
  </r>
  <r>
    <x v="0"/>
    <x v="4"/>
    <x v="0"/>
    <x v="0"/>
    <n v="99"/>
    <n v="10"/>
    <x v="52"/>
  </r>
  <r>
    <x v="0"/>
    <x v="4"/>
    <x v="0"/>
    <x v="1"/>
    <n v="191"/>
    <n v="110"/>
    <x v="22"/>
  </r>
  <r>
    <x v="0"/>
    <x v="4"/>
    <x v="1"/>
    <x v="0"/>
    <n v="137"/>
    <n v="101"/>
    <x v="56"/>
  </r>
  <r>
    <x v="0"/>
    <x v="4"/>
    <x v="1"/>
    <x v="1"/>
    <n v="110"/>
    <n v="100"/>
    <x v="57"/>
  </r>
  <r>
    <x v="0"/>
    <x v="4"/>
    <x v="2"/>
    <x v="0"/>
    <n v="243"/>
    <n v="34"/>
    <x v="32"/>
  </r>
  <r>
    <x v="0"/>
    <x v="4"/>
    <x v="2"/>
    <x v="1"/>
    <n v="147"/>
    <n v="22"/>
    <x v="58"/>
  </r>
  <r>
    <x v="0"/>
    <x v="4"/>
    <x v="3"/>
    <x v="0"/>
    <n v="95"/>
    <n v="52"/>
    <x v="59"/>
  </r>
  <r>
    <x v="0"/>
    <x v="4"/>
    <x v="3"/>
    <x v="1"/>
    <n v="135"/>
    <n v="48"/>
    <x v="60"/>
  </r>
  <r>
    <x v="0"/>
    <x v="4"/>
    <x v="4"/>
    <x v="0"/>
    <n v="183"/>
    <n v="30"/>
    <x v="7"/>
  </r>
  <r>
    <x v="0"/>
    <x v="4"/>
    <x v="4"/>
    <x v="1"/>
    <n v="235"/>
    <n v="81"/>
    <x v="61"/>
  </r>
  <r>
    <x v="0"/>
    <x v="4"/>
    <x v="5"/>
    <x v="0"/>
    <n v="142"/>
    <n v="49"/>
    <x v="39"/>
  </r>
  <r>
    <x v="0"/>
    <x v="4"/>
    <x v="5"/>
    <x v="1"/>
    <n v="66"/>
    <n v="45"/>
    <x v="62"/>
  </r>
  <r>
    <x v="0"/>
    <x v="4"/>
    <x v="6"/>
    <x v="0"/>
    <n v="124"/>
    <n v="54"/>
    <x v="63"/>
  </r>
  <r>
    <x v="0"/>
    <x v="4"/>
    <x v="6"/>
    <x v="1"/>
    <n v="250"/>
    <n v="41"/>
    <x v="64"/>
  </r>
  <r>
    <x v="0"/>
    <x v="4"/>
    <x v="7"/>
    <x v="0"/>
    <n v="144"/>
    <n v="61"/>
    <x v="13"/>
  </r>
  <r>
    <x v="0"/>
    <x v="4"/>
    <x v="7"/>
    <x v="1"/>
    <n v="65"/>
    <n v="47"/>
    <x v="33"/>
  </r>
  <r>
    <x v="0"/>
    <x v="5"/>
    <x v="0"/>
    <x v="0"/>
    <n v="229"/>
    <n v="73"/>
    <x v="65"/>
  </r>
  <r>
    <x v="0"/>
    <x v="5"/>
    <x v="0"/>
    <x v="1"/>
    <n v="204"/>
    <n v="75"/>
    <x v="66"/>
  </r>
  <r>
    <x v="0"/>
    <x v="5"/>
    <x v="1"/>
    <x v="0"/>
    <n v="102"/>
    <n v="89"/>
    <x v="39"/>
  </r>
  <r>
    <x v="0"/>
    <x v="5"/>
    <x v="1"/>
    <x v="1"/>
    <n v="257"/>
    <n v="83"/>
    <x v="67"/>
  </r>
  <r>
    <x v="0"/>
    <x v="5"/>
    <x v="2"/>
    <x v="0"/>
    <n v="73"/>
    <n v="11"/>
    <x v="68"/>
  </r>
  <r>
    <x v="0"/>
    <x v="5"/>
    <x v="2"/>
    <x v="1"/>
    <n v="204"/>
    <n v="46"/>
    <x v="69"/>
  </r>
  <r>
    <x v="0"/>
    <x v="5"/>
    <x v="3"/>
    <x v="0"/>
    <n v="234"/>
    <n v="97"/>
    <x v="70"/>
  </r>
  <r>
    <x v="0"/>
    <x v="5"/>
    <x v="3"/>
    <x v="1"/>
    <n v="51"/>
    <n v="45"/>
    <x v="71"/>
  </r>
  <r>
    <x v="0"/>
    <x v="5"/>
    <x v="4"/>
    <x v="0"/>
    <n v="101"/>
    <n v="97"/>
    <x v="72"/>
  </r>
  <r>
    <x v="0"/>
    <x v="5"/>
    <x v="4"/>
    <x v="1"/>
    <n v="182"/>
    <n v="101"/>
    <x v="73"/>
  </r>
  <r>
    <x v="0"/>
    <x v="5"/>
    <x v="5"/>
    <x v="0"/>
    <n v="153"/>
    <n v="93"/>
    <x v="74"/>
  </r>
  <r>
    <x v="0"/>
    <x v="5"/>
    <x v="5"/>
    <x v="1"/>
    <n v="150"/>
    <n v="19"/>
    <x v="58"/>
  </r>
  <r>
    <x v="0"/>
    <x v="5"/>
    <x v="6"/>
    <x v="0"/>
    <n v="242"/>
    <n v="32"/>
    <x v="75"/>
  </r>
  <r>
    <x v="0"/>
    <x v="5"/>
    <x v="6"/>
    <x v="1"/>
    <n v="142"/>
    <n v="105"/>
    <x v="76"/>
  </r>
  <r>
    <x v="0"/>
    <x v="5"/>
    <x v="7"/>
    <x v="0"/>
    <n v="67"/>
    <n v="99"/>
    <x v="53"/>
  </r>
  <r>
    <x v="0"/>
    <x v="5"/>
    <x v="7"/>
    <x v="1"/>
    <n v="142"/>
    <n v="42"/>
    <x v="77"/>
  </r>
  <r>
    <x v="0"/>
    <x v="6"/>
    <x v="0"/>
    <x v="0"/>
    <n v="40"/>
    <n v="34"/>
    <x v="78"/>
  </r>
  <r>
    <x v="0"/>
    <x v="6"/>
    <x v="0"/>
    <x v="1"/>
    <n v="223"/>
    <n v="15"/>
    <x v="56"/>
  </r>
  <r>
    <x v="0"/>
    <x v="6"/>
    <x v="1"/>
    <x v="0"/>
    <n v="94"/>
    <n v="17"/>
    <x v="62"/>
  </r>
  <r>
    <x v="0"/>
    <x v="6"/>
    <x v="1"/>
    <x v="1"/>
    <n v="108"/>
    <n v="14"/>
    <x v="79"/>
  </r>
  <r>
    <x v="0"/>
    <x v="6"/>
    <x v="2"/>
    <x v="0"/>
    <n v="133"/>
    <n v="32"/>
    <x v="80"/>
  </r>
  <r>
    <x v="0"/>
    <x v="6"/>
    <x v="2"/>
    <x v="1"/>
    <n v="227"/>
    <n v="105"/>
    <x v="81"/>
  </r>
  <r>
    <x v="0"/>
    <x v="6"/>
    <x v="3"/>
    <x v="0"/>
    <n v="247"/>
    <n v="86"/>
    <x v="82"/>
  </r>
  <r>
    <x v="0"/>
    <x v="6"/>
    <x v="3"/>
    <x v="1"/>
    <n v="189"/>
    <n v="55"/>
    <x v="83"/>
  </r>
  <r>
    <x v="0"/>
    <x v="6"/>
    <x v="4"/>
    <x v="0"/>
    <n v="109"/>
    <n v="45"/>
    <x v="84"/>
  </r>
  <r>
    <x v="0"/>
    <x v="6"/>
    <x v="4"/>
    <x v="1"/>
    <n v="254"/>
    <n v="19"/>
    <x v="48"/>
  </r>
  <r>
    <x v="0"/>
    <x v="6"/>
    <x v="5"/>
    <x v="0"/>
    <n v="57"/>
    <n v="85"/>
    <x v="85"/>
  </r>
  <r>
    <x v="0"/>
    <x v="6"/>
    <x v="5"/>
    <x v="1"/>
    <n v="74"/>
    <n v="70"/>
    <x v="86"/>
  </r>
  <r>
    <x v="0"/>
    <x v="6"/>
    <x v="6"/>
    <x v="0"/>
    <n v="156"/>
    <n v="52"/>
    <x v="87"/>
  </r>
  <r>
    <x v="0"/>
    <x v="6"/>
    <x v="6"/>
    <x v="1"/>
    <n v="190"/>
    <n v="47"/>
    <x v="88"/>
  </r>
  <r>
    <x v="0"/>
    <x v="6"/>
    <x v="7"/>
    <x v="0"/>
    <n v="219"/>
    <n v="101"/>
    <x v="89"/>
  </r>
  <r>
    <x v="0"/>
    <x v="6"/>
    <x v="7"/>
    <x v="1"/>
    <n v="73"/>
    <n v="77"/>
    <x v="90"/>
  </r>
  <r>
    <x v="0"/>
    <x v="7"/>
    <x v="0"/>
    <x v="0"/>
    <n v="55"/>
    <n v="19"/>
    <x v="78"/>
  </r>
  <r>
    <x v="0"/>
    <x v="7"/>
    <x v="0"/>
    <x v="1"/>
    <n v="228"/>
    <n v="82"/>
    <x v="91"/>
  </r>
  <r>
    <x v="0"/>
    <x v="7"/>
    <x v="1"/>
    <x v="0"/>
    <n v="214"/>
    <n v="30"/>
    <x v="83"/>
  </r>
  <r>
    <x v="0"/>
    <x v="7"/>
    <x v="1"/>
    <x v="1"/>
    <n v="256"/>
    <n v="52"/>
    <x v="92"/>
  </r>
  <r>
    <x v="0"/>
    <x v="7"/>
    <x v="2"/>
    <x v="0"/>
    <n v="122"/>
    <n v="109"/>
    <x v="50"/>
  </r>
  <r>
    <x v="0"/>
    <x v="7"/>
    <x v="2"/>
    <x v="1"/>
    <n v="50"/>
    <n v="98"/>
    <x v="93"/>
  </r>
  <r>
    <x v="0"/>
    <x v="7"/>
    <x v="3"/>
    <x v="0"/>
    <n v="219"/>
    <n v="18"/>
    <x v="88"/>
  </r>
  <r>
    <x v="0"/>
    <x v="7"/>
    <x v="3"/>
    <x v="1"/>
    <n v="126"/>
    <n v="16"/>
    <x v="85"/>
  </r>
  <r>
    <x v="0"/>
    <x v="7"/>
    <x v="4"/>
    <x v="0"/>
    <n v="243"/>
    <n v="35"/>
    <x v="94"/>
  </r>
  <r>
    <x v="0"/>
    <x v="7"/>
    <x v="4"/>
    <x v="1"/>
    <n v="242"/>
    <n v="65"/>
    <x v="95"/>
  </r>
  <r>
    <x v="0"/>
    <x v="7"/>
    <x v="5"/>
    <x v="0"/>
    <n v="146"/>
    <n v="82"/>
    <x v="96"/>
  </r>
  <r>
    <x v="0"/>
    <x v="7"/>
    <x v="5"/>
    <x v="1"/>
    <n v="129"/>
    <n v="71"/>
    <x v="97"/>
  </r>
  <r>
    <x v="0"/>
    <x v="7"/>
    <x v="6"/>
    <x v="0"/>
    <n v="52"/>
    <n v="56"/>
    <x v="98"/>
  </r>
  <r>
    <x v="0"/>
    <x v="7"/>
    <x v="6"/>
    <x v="1"/>
    <n v="86"/>
    <n v="75"/>
    <x v="26"/>
  </r>
  <r>
    <x v="0"/>
    <x v="7"/>
    <x v="7"/>
    <x v="0"/>
    <n v="66"/>
    <n v="42"/>
    <x v="98"/>
  </r>
  <r>
    <x v="0"/>
    <x v="7"/>
    <x v="7"/>
    <x v="1"/>
    <n v="86"/>
    <n v="89"/>
    <x v="99"/>
  </r>
  <r>
    <x v="1"/>
    <x v="0"/>
    <x v="0"/>
    <x v="0"/>
    <n v="88"/>
    <n v="29"/>
    <x v="100"/>
  </r>
  <r>
    <x v="1"/>
    <x v="0"/>
    <x v="0"/>
    <x v="1"/>
    <n v="70"/>
    <n v="54"/>
    <x v="1"/>
  </r>
  <r>
    <x v="1"/>
    <x v="0"/>
    <x v="1"/>
    <x v="0"/>
    <n v="104"/>
    <n v="60"/>
    <x v="101"/>
  </r>
  <r>
    <x v="1"/>
    <x v="0"/>
    <x v="1"/>
    <x v="1"/>
    <n v="240"/>
    <n v="89"/>
    <x v="102"/>
  </r>
  <r>
    <x v="1"/>
    <x v="0"/>
    <x v="2"/>
    <x v="0"/>
    <n v="55"/>
    <n v="42"/>
    <x v="103"/>
  </r>
  <r>
    <x v="1"/>
    <x v="0"/>
    <x v="2"/>
    <x v="1"/>
    <n v="166"/>
    <n v="80"/>
    <x v="74"/>
  </r>
  <r>
    <x v="1"/>
    <x v="0"/>
    <x v="3"/>
    <x v="0"/>
    <n v="97"/>
    <n v="102"/>
    <x v="104"/>
  </r>
  <r>
    <x v="1"/>
    <x v="0"/>
    <x v="3"/>
    <x v="1"/>
    <n v="246"/>
    <n v="99"/>
    <x v="105"/>
  </r>
  <r>
    <x v="1"/>
    <x v="0"/>
    <x v="4"/>
    <x v="0"/>
    <n v="106"/>
    <n v="107"/>
    <x v="7"/>
  </r>
  <r>
    <x v="1"/>
    <x v="0"/>
    <x v="4"/>
    <x v="1"/>
    <n v="181"/>
    <n v="76"/>
    <x v="106"/>
  </r>
  <r>
    <x v="1"/>
    <x v="0"/>
    <x v="5"/>
    <x v="0"/>
    <n v="54"/>
    <n v="54"/>
    <x v="98"/>
  </r>
  <r>
    <x v="1"/>
    <x v="0"/>
    <x v="5"/>
    <x v="1"/>
    <n v="80"/>
    <n v="95"/>
    <x v="99"/>
  </r>
  <r>
    <x v="1"/>
    <x v="0"/>
    <x v="6"/>
    <x v="0"/>
    <n v="154"/>
    <n v="34"/>
    <x v="18"/>
  </r>
  <r>
    <x v="1"/>
    <x v="0"/>
    <x v="6"/>
    <x v="1"/>
    <n v="228"/>
    <n v="54"/>
    <x v="46"/>
  </r>
  <r>
    <x v="1"/>
    <x v="0"/>
    <x v="7"/>
    <x v="0"/>
    <n v="198"/>
    <n v="39"/>
    <x v="88"/>
  </r>
  <r>
    <x v="1"/>
    <x v="0"/>
    <x v="7"/>
    <x v="1"/>
    <n v="204"/>
    <n v="105"/>
    <x v="107"/>
  </r>
  <r>
    <x v="1"/>
    <x v="1"/>
    <x v="0"/>
    <x v="0"/>
    <n v="240"/>
    <n v="40"/>
    <x v="108"/>
  </r>
  <r>
    <x v="1"/>
    <x v="1"/>
    <x v="0"/>
    <x v="1"/>
    <n v="70"/>
    <n v="81"/>
    <x v="109"/>
  </r>
  <r>
    <x v="1"/>
    <x v="1"/>
    <x v="1"/>
    <x v="0"/>
    <n v="204"/>
    <n v="109"/>
    <x v="110"/>
  </r>
  <r>
    <x v="1"/>
    <x v="1"/>
    <x v="1"/>
    <x v="1"/>
    <n v="165"/>
    <n v="87"/>
    <x v="111"/>
  </r>
  <r>
    <x v="1"/>
    <x v="1"/>
    <x v="2"/>
    <x v="0"/>
    <n v="138"/>
    <n v="67"/>
    <x v="13"/>
  </r>
  <r>
    <x v="1"/>
    <x v="1"/>
    <x v="2"/>
    <x v="1"/>
    <n v="107"/>
    <n v="41"/>
    <x v="93"/>
  </r>
  <r>
    <x v="1"/>
    <x v="1"/>
    <x v="3"/>
    <x v="0"/>
    <n v="199"/>
    <n v="74"/>
    <x v="48"/>
  </r>
  <r>
    <x v="1"/>
    <x v="1"/>
    <x v="3"/>
    <x v="1"/>
    <n v="231"/>
    <n v="80"/>
    <x v="112"/>
  </r>
  <r>
    <x v="1"/>
    <x v="1"/>
    <x v="4"/>
    <x v="0"/>
    <n v="175"/>
    <n v="70"/>
    <x v="10"/>
  </r>
  <r>
    <x v="1"/>
    <x v="1"/>
    <x v="4"/>
    <x v="1"/>
    <n v="81"/>
    <n v="57"/>
    <x v="113"/>
  </r>
  <r>
    <x v="1"/>
    <x v="1"/>
    <x v="5"/>
    <x v="0"/>
    <n v="201"/>
    <n v="44"/>
    <x v="10"/>
  </r>
  <r>
    <x v="1"/>
    <x v="1"/>
    <x v="5"/>
    <x v="1"/>
    <n v="87"/>
    <n v="103"/>
    <x v="114"/>
  </r>
  <r>
    <x v="1"/>
    <x v="1"/>
    <x v="6"/>
    <x v="0"/>
    <n v="205"/>
    <n v="54"/>
    <x v="34"/>
  </r>
  <r>
    <x v="1"/>
    <x v="1"/>
    <x v="6"/>
    <x v="1"/>
    <n v="191"/>
    <n v="54"/>
    <x v="10"/>
  </r>
  <r>
    <x v="1"/>
    <x v="1"/>
    <x v="7"/>
    <x v="0"/>
    <n v="146"/>
    <n v="80"/>
    <x v="115"/>
  </r>
  <r>
    <x v="1"/>
    <x v="1"/>
    <x v="7"/>
    <x v="1"/>
    <n v="46"/>
    <n v="44"/>
    <x v="116"/>
  </r>
  <r>
    <x v="1"/>
    <x v="2"/>
    <x v="0"/>
    <x v="0"/>
    <n v="92"/>
    <n v="70"/>
    <x v="117"/>
  </r>
  <r>
    <x v="1"/>
    <x v="2"/>
    <x v="0"/>
    <x v="1"/>
    <n v="66"/>
    <n v="57"/>
    <x v="0"/>
  </r>
  <r>
    <x v="1"/>
    <x v="2"/>
    <x v="1"/>
    <x v="0"/>
    <n v="82"/>
    <n v="38"/>
    <x v="118"/>
  </r>
  <r>
    <x v="1"/>
    <x v="2"/>
    <x v="1"/>
    <x v="1"/>
    <n v="159"/>
    <n v="47"/>
    <x v="119"/>
  </r>
  <r>
    <x v="1"/>
    <x v="2"/>
    <x v="2"/>
    <x v="0"/>
    <n v="128"/>
    <n v="107"/>
    <x v="120"/>
  </r>
  <r>
    <x v="1"/>
    <x v="2"/>
    <x v="2"/>
    <x v="1"/>
    <n v="56"/>
    <n v="100"/>
    <x v="121"/>
  </r>
  <r>
    <x v="1"/>
    <x v="2"/>
    <x v="3"/>
    <x v="0"/>
    <n v="80"/>
    <n v="103"/>
    <x v="60"/>
  </r>
  <r>
    <x v="1"/>
    <x v="2"/>
    <x v="3"/>
    <x v="1"/>
    <n v="95"/>
    <n v="66"/>
    <x v="26"/>
  </r>
  <r>
    <x v="1"/>
    <x v="2"/>
    <x v="4"/>
    <x v="0"/>
    <n v="48"/>
    <n v="75"/>
    <x v="0"/>
  </r>
  <r>
    <x v="1"/>
    <x v="2"/>
    <x v="4"/>
    <x v="1"/>
    <n v="234"/>
    <n v="58"/>
    <x v="122"/>
  </r>
  <r>
    <x v="1"/>
    <x v="2"/>
    <x v="5"/>
    <x v="0"/>
    <n v="112"/>
    <n v="20"/>
    <x v="123"/>
  </r>
  <r>
    <x v="1"/>
    <x v="2"/>
    <x v="5"/>
    <x v="1"/>
    <n v="58"/>
    <n v="101"/>
    <x v="38"/>
  </r>
  <r>
    <x v="1"/>
    <x v="2"/>
    <x v="6"/>
    <x v="0"/>
    <n v="158"/>
    <n v="43"/>
    <x v="124"/>
  </r>
  <r>
    <x v="1"/>
    <x v="2"/>
    <x v="6"/>
    <x v="1"/>
    <n v="220"/>
    <n v="109"/>
    <x v="102"/>
  </r>
  <r>
    <x v="1"/>
    <x v="2"/>
    <x v="7"/>
    <x v="0"/>
    <n v="163"/>
    <n v="83"/>
    <x v="74"/>
  </r>
  <r>
    <x v="1"/>
    <x v="2"/>
    <x v="7"/>
    <x v="1"/>
    <n v="259"/>
    <n v="89"/>
    <x v="125"/>
  </r>
  <r>
    <x v="1"/>
    <x v="3"/>
    <x v="0"/>
    <x v="0"/>
    <n v="105"/>
    <n v="27"/>
    <x v="123"/>
  </r>
  <r>
    <x v="1"/>
    <x v="3"/>
    <x v="0"/>
    <x v="1"/>
    <n v="180"/>
    <n v="71"/>
    <x v="126"/>
  </r>
  <r>
    <x v="1"/>
    <x v="3"/>
    <x v="1"/>
    <x v="0"/>
    <n v="68"/>
    <n v="56"/>
    <x v="1"/>
  </r>
  <r>
    <x v="1"/>
    <x v="3"/>
    <x v="1"/>
    <x v="1"/>
    <n v="142"/>
    <n v="88"/>
    <x v="25"/>
  </r>
  <r>
    <x v="1"/>
    <x v="3"/>
    <x v="2"/>
    <x v="0"/>
    <n v="250"/>
    <n v="98"/>
    <x v="125"/>
  </r>
  <r>
    <x v="1"/>
    <x v="3"/>
    <x v="2"/>
    <x v="1"/>
    <n v="111"/>
    <n v="68"/>
    <x v="40"/>
  </r>
  <r>
    <x v="1"/>
    <x v="3"/>
    <x v="3"/>
    <x v="0"/>
    <n v="239"/>
    <n v="27"/>
    <x v="127"/>
  </r>
  <r>
    <x v="1"/>
    <x v="3"/>
    <x v="3"/>
    <x v="1"/>
    <n v="95"/>
    <n v="99"/>
    <x v="36"/>
  </r>
  <r>
    <x v="1"/>
    <x v="3"/>
    <x v="4"/>
    <x v="0"/>
    <n v="86"/>
    <n v="107"/>
    <x v="128"/>
  </r>
  <r>
    <x v="1"/>
    <x v="3"/>
    <x v="4"/>
    <x v="1"/>
    <n v="194"/>
    <n v="69"/>
    <x v="129"/>
  </r>
  <r>
    <x v="1"/>
    <x v="3"/>
    <x v="5"/>
    <x v="0"/>
    <n v="147"/>
    <n v="62"/>
    <x v="130"/>
  </r>
  <r>
    <x v="1"/>
    <x v="3"/>
    <x v="5"/>
    <x v="1"/>
    <n v="239"/>
    <n v="52"/>
    <x v="64"/>
  </r>
  <r>
    <x v="1"/>
    <x v="3"/>
    <x v="6"/>
    <x v="0"/>
    <n v="140"/>
    <n v="88"/>
    <x v="96"/>
  </r>
  <r>
    <x v="1"/>
    <x v="3"/>
    <x v="6"/>
    <x v="1"/>
    <n v="241"/>
    <n v="103"/>
    <x v="131"/>
  </r>
  <r>
    <x v="1"/>
    <x v="3"/>
    <x v="7"/>
    <x v="0"/>
    <n v="206"/>
    <n v="82"/>
    <x v="132"/>
  </r>
  <r>
    <x v="1"/>
    <x v="3"/>
    <x v="7"/>
    <x v="1"/>
    <n v="131"/>
    <n v="94"/>
    <x v="133"/>
  </r>
  <r>
    <x v="1"/>
    <x v="4"/>
    <x v="0"/>
    <x v="0"/>
    <n v="66"/>
    <n v="79"/>
    <x v="17"/>
  </r>
  <r>
    <x v="1"/>
    <x v="4"/>
    <x v="0"/>
    <x v="1"/>
    <n v="205"/>
    <n v="96"/>
    <x v="22"/>
  </r>
  <r>
    <x v="1"/>
    <x v="4"/>
    <x v="1"/>
    <x v="0"/>
    <n v="113"/>
    <n v="103"/>
    <x v="2"/>
  </r>
  <r>
    <x v="1"/>
    <x v="4"/>
    <x v="1"/>
    <x v="1"/>
    <n v="86"/>
    <n v="104"/>
    <x v="114"/>
  </r>
  <r>
    <x v="1"/>
    <x v="4"/>
    <x v="2"/>
    <x v="0"/>
    <n v="74"/>
    <n v="27"/>
    <x v="134"/>
  </r>
  <r>
    <x v="1"/>
    <x v="4"/>
    <x v="2"/>
    <x v="1"/>
    <n v="113"/>
    <n v="17"/>
    <x v="135"/>
  </r>
  <r>
    <x v="1"/>
    <x v="4"/>
    <x v="3"/>
    <x v="0"/>
    <n v="155"/>
    <n v="78"/>
    <x v="136"/>
  </r>
  <r>
    <x v="1"/>
    <x v="4"/>
    <x v="3"/>
    <x v="1"/>
    <n v="156"/>
    <n v="54"/>
    <x v="57"/>
  </r>
  <r>
    <x v="1"/>
    <x v="4"/>
    <x v="4"/>
    <x v="0"/>
    <n v="236"/>
    <n v="85"/>
    <x v="137"/>
  </r>
  <r>
    <x v="1"/>
    <x v="4"/>
    <x v="4"/>
    <x v="1"/>
    <n v="260"/>
    <n v="33"/>
    <x v="29"/>
  </r>
  <r>
    <x v="1"/>
    <x v="4"/>
    <x v="5"/>
    <x v="0"/>
    <n v="80"/>
    <n v="39"/>
    <x v="138"/>
  </r>
  <r>
    <x v="1"/>
    <x v="4"/>
    <x v="5"/>
    <x v="1"/>
    <n v="163"/>
    <n v="22"/>
    <x v="3"/>
  </r>
  <r>
    <x v="1"/>
    <x v="4"/>
    <x v="6"/>
    <x v="0"/>
    <n v="76"/>
    <n v="86"/>
    <x v="117"/>
  </r>
  <r>
    <x v="1"/>
    <x v="4"/>
    <x v="6"/>
    <x v="1"/>
    <n v="235"/>
    <n v="17"/>
    <x v="111"/>
  </r>
  <r>
    <x v="1"/>
    <x v="4"/>
    <x v="7"/>
    <x v="0"/>
    <n v="120"/>
    <n v="54"/>
    <x v="15"/>
  </r>
  <r>
    <x v="1"/>
    <x v="4"/>
    <x v="7"/>
    <x v="1"/>
    <n v="236"/>
    <n v="53"/>
    <x v="41"/>
  </r>
  <r>
    <x v="1"/>
    <x v="5"/>
    <x v="0"/>
    <x v="0"/>
    <n v="204"/>
    <n v="39"/>
    <x v="37"/>
  </r>
  <r>
    <x v="1"/>
    <x v="5"/>
    <x v="0"/>
    <x v="1"/>
    <n v="176"/>
    <n v="59"/>
    <x v="120"/>
  </r>
  <r>
    <x v="1"/>
    <x v="5"/>
    <x v="1"/>
    <x v="0"/>
    <n v="251"/>
    <n v="36"/>
    <x v="139"/>
  </r>
  <r>
    <x v="1"/>
    <x v="5"/>
    <x v="1"/>
    <x v="1"/>
    <n v="215"/>
    <n v="24"/>
    <x v="140"/>
  </r>
  <r>
    <x v="1"/>
    <x v="5"/>
    <x v="2"/>
    <x v="0"/>
    <n v="250"/>
    <n v="78"/>
    <x v="141"/>
  </r>
  <r>
    <x v="1"/>
    <x v="5"/>
    <x v="2"/>
    <x v="1"/>
    <n v="101"/>
    <n v="28"/>
    <x v="142"/>
  </r>
  <r>
    <x v="1"/>
    <x v="5"/>
    <x v="3"/>
    <x v="0"/>
    <n v="41"/>
    <n v="24"/>
    <x v="143"/>
  </r>
  <r>
    <x v="1"/>
    <x v="5"/>
    <x v="3"/>
    <x v="1"/>
    <n v="224"/>
    <n v="18"/>
    <x v="144"/>
  </r>
  <r>
    <x v="1"/>
    <x v="5"/>
    <x v="4"/>
    <x v="0"/>
    <n v="86"/>
    <n v="14"/>
    <x v="145"/>
  </r>
  <r>
    <x v="1"/>
    <x v="5"/>
    <x v="4"/>
    <x v="1"/>
    <n v="178"/>
    <n v="79"/>
    <x v="106"/>
  </r>
  <r>
    <x v="1"/>
    <x v="5"/>
    <x v="5"/>
    <x v="0"/>
    <n v="248"/>
    <n v="70"/>
    <x v="51"/>
  </r>
  <r>
    <x v="1"/>
    <x v="5"/>
    <x v="5"/>
    <x v="1"/>
    <n v="227"/>
    <n v="87"/>
    <x v="146"/>
  </r>
  <r>
    <x v="1"/>
    <x v="5"/>
    <x v="6"/>
    <x v="0"/>
    <n v="123"/>
    <n v="22"/>
    <x v="17"/>
  </r>
  <r>
    <x v="1"/>
    <x v="5"/>
    <x v="6"/>
    <x v="1"/>
    <n v="81"/>
    <n v="10"/>
    <x v="147"/>
  </r>
  <r>
    <x v="1"/>
    <x v="5"/>
    <x v="7"/>
    <x v="0"/>
    <n v="59"/>
    <n v="92"/>
    <x v="109"/>
  </r>
  <r>
    <x v="1"/>
    <x v="5"/>
    <x v="7"/>
    <x v="1"/>
    <n v="125"/>
    <n v="98"/>
    <x v="148"/>
  </r>
  <r>
    <x v="1"/>
    <x v="6"/>
    <x v="0"/>
    <x v="0"/>
    <n v="234"/>
    <n v="42"/>
    <x v="149"/>
  </r>
  <r>
    <x v="1"/>
    <x v="6"/>
    <x v="0"/>
    <x v="1"/>
    <n v="173"/>
    <n v="58"/>
    <x v="50"/>
  </r>
  <r>
    <x v="1"/>
    <x v="6"/>
    <x v="1"/>
    <x v="0"/>
    <n v="195"/>
    <n v="66"/>
    <x v="150"/>
  </r>
  <r>
    <x v="1"/>
    <x v="6"/>
    <x v="1"/>
    <x v="1"/>
    <n v="171"/>
    <n v="107"/>
    <x v="94"/>
  </r>
  <r>
    <x v="1"/>
    <x v="6"/>
    <x v="2"/>
    <x v="0"/>
    <n v="71"/>
    <n v="22"/>
    <x v="151"/>
  </r>
  <r>
    <x v="1"/>
    <x v="6"/>
    <x v="2"/>
    <x v="1"/>
    <n v="248"/>
    <n v="23"/>
    <x v="152"/>
  </r>
  <r>
    <x v="1"/>
    <x v="6"/>
    <x v="3"/>
    <x v="0"/>
    <n v="232"/>
    <n v="29"/>
    <x v="150"/>
  </r>
  <r>
    <x v="1"/>
    <x v="6"/>
    <x v="3"/>
    <x v="1"/>
    <n v="168"/>
    <n v="87"/>
    <x v="153"/>
  </r>
  <r>
    <x v="1"/>
    <x v="6"/>
    <x v="4"/>
    <x v="0"/>
    <n v="187"/>
    <n v="79"/>
    <x v="127"/>
  </r>
  <r>
    <x v="1"/>
    <x v="6"/>
    <x v="4"/>
    <x v="1"/>
    <n v="56"/>
    <n v="33"/>
    <x v="154"/>
  </r>
  <r>
    <x v="1"/>
    <x v="6"/>
    <x v="5"/>
    <x v="0"/>
    <n v="119"/>
    <n v="13"/>
    <x v="123"/>
  </r>
  <r>
    <x v="1"/>
    <x v="6"/>
    <x v="5"/>
    <x v="1"/>
    <n v="256"/>
    <n v="98"/>
    <x v="155"/>
  </r>
  <r>
    <x v="1"/>
    <x v="6"/>
    <x v="6"/>
    <x v="0"/>
    <n v="225"/>
    <n v="60"/>
    <x v="156"/>
  </r>
  <r>
    <x v="1"/>
    <x v="6"/>
    <x v="6"/>
    <x v="1"/>
    <n v="212"/>
    <n v="60"/>
    <x v="157"/>
  </r>
  <r>
    <x v="1"/>
    <x v="6"/>
    <x v="7"/>
    <x v="0"/>
    <n v="172"/>
    <n v="101"/>
    <x v="48"/>
  </r>
  <r>
    <x v="1"/>
    <x v="6"/>
    <x v="7"/>
    <x v="1"/>
    <n v="89"/>
    <n v="66"/>
    <x v="158"/>
  </r>
  <r>
    <x v="1"/>
    <x v="7"/>
    <x v="0"/>
    <x v="0"/>
    <n v="139"/>
    <n v="11"/>
    <x v="90"/>
  </r>
  <r>
    <x v="1"/>
    <x v="7"/>
    <x v="0"/>
    <x v="1"/>
    <n v="189"/>
    <n v="66"/>
    <x v="153"/>
  </r>
  <r>
    <x v="1"/>
    <x v="7"/>
    <x v="1"/>
    <x v="0"/>
    <n v="46"/>
    <n v="56"/>
    <x v="159"/>
  </r>
  <r>
    <x v="1"/>
    <x v="7"/>
    <x v="1"/>
    <x v="1"/>
    <n v="246"/>
    <n v="89"/>
    <x v="160"/>
  </r>
  <r>
    <x v="1"/>
    <x v="7"/>
    <x v="2"/>
    <x v="0"/>
    <n v="101"/>
    <n v="77"/>
    <x v="63"/>
  </r>
  <r>
    <x v="1"/>
    <x v="7"/>
    <x v="2"/>
    <x v="1"/>
    <n v="162"/>
    <n v="36"/>
    <x v="72"/>
  </r>
  <r>
    <x v="1"/>
    <x v="7"/>
    <x v="3"/>
    <x v="0"/>
    <n v="135"/>
    <n v="56"/>
    <x v="39"/>
  </r>
  <r>
    <x v="1"/>
    <x v="7"/>
    <x v="3"/>
    <x v="1"/>
    <n v="82"/>
    <n v="55"/>
    <x v="20"/>
  </r>
  <r>
    <x v="1"/>
    <x v="7"/>
    <x v="4"/>
    <x v="0"/>
    <n v="203"/>
    <n v="78"/>
    <x v="47"/>
  </r>
  <r>
    <x v="1"/>
    <x v="7"/>
    <x v="4"/>
    <x v="1"/>
    <n v="247"/>
    <n v="33"/>
    <x v="108"/>
  </r>
  <r>
    <x v="1"/>
    <x v="7"/>
    <x v="5"/>
    <x v="0"/>
    <n v="182"/>
    <n v="56"/>
    <x v="56"/>
  </r>
  <r>
    <x v="1"/>
    <x v="7"/>
    <x v="5"/>
    <x v="1"/>
    <n v="168"/>
    <n v="95"/>
    <x v="129"/>
  </r>
  <r>
    <x v="1"/>
    <x v="7"/>
    <x v="6"/>
    <x v="0"/>
    <n v="97"/>
    <n v="108"/>
    <x v="13"/>
  </r>
  <r>
    <x v="1"/>
    <x v="7"/>
    <x v="6"/>
    <x v="1"/>
    <n v="226"/>
    <n v="110"/>
    <x v="161"/>
  </r>
  <r>
    <x v="1"/>
    <x v="7"/>
    <x v="7"/>
    <x v="0"/>
    <n v="190"/>
    <n v="43"/>
    <x v="136"/>
  </r>
  <r>
    <x v="1"/>
    <x v="7"/>
    <x v="7"/>
    <x v="1"/>
    <n v="202"/>
    <n v="20"/>
    <x v="162"/>
  </r>
  <r>
    <x v="2"/>
    <x v="0"/>
    <x v="0"/>
    <x v="0"/>
    <n v="142"/>
    <n v="109"/>
    <x v="126"/>
  </r>
  <r>
    <x v="2"/>
    <x v="0"/>
    <x v="0"/>
    <x v="1"/>
    <n v="243"/>
    <n v="107"/>
    <x v="163"/>
  </r>
  <r>
    <x v="2"/>
    <x v="0"/>
    <x v="1"/>
    <x v="0"/>
    <n v="75"/>
    <n v="64"/>
    <x v="164"/>
  </r>
  <r>
    <x v="2"/>
    <x v="0"/>
    <x v="1"/>
    <x v="1"/>
    <n v="99"/>
    <n v="87"/>
    <x v="28"/>
  </r>
  <r>
    <x v="2"/>
    <x v="0"/>
    <x v="2"/>
    <x v="0"/>
    <n v="175"/>
    <n v="19"/>
    <x v="36"/>
  </r>
  <r>
    <x v="2"/>
    <x v="0"/>
    <x v="2"/>
    <x v="1"/>
    <n v="90"/>
    <n v="47"/>
    <x v="20"/>
  </r>
  <r>
    <x v="2"/>
    <x v="0"/>
    <x v="3"/>
    <x v="0"/>
    <n v="217"/>
    <n v="104"/>
    <x v="137"/>
  </r>
  <r>
    <x v="2"/>
    <x v="0"/>
    <x v="3"/>
    <x v="1"/>
    <n v="234"/>
    <n v="57"/>
    <x v="64"/>
  </r>
  <r>
    <x v="2"/>
    <x v="0"/>
    <x v="4"/>
    <x v="0"/>
    <n v="252"/>
    <n v="79"/>
    <x v="70"/>
  </r>
  <r>
    <x v="2"/>
    <x v="0"/>
    <x v="4"/>
    <x v="1"/>
    <n v="214"/>
    <n v="16"/>
    <x v="25"/>
  </r>
  <r>
    <x v="2"/>
    <x v="0"/>
    <x v="5"/>
    <x v="0"/>
    <n v="100"/>
    <n v="101"/>
    <x v="124"/>
  </r>
  <r>
    <x v="2"/>
    <x v="0"/>
    <x v="5"/>
    <x v="1"/>
    <n v="159"/>
    <n v="50"/>
    <x v="130"/>
  </r>
  <r>
    <x v="2"/>
    <x v="0"/>
    <x v="6"/>
    <x v="0"/>
    <n v="70"/>
    <n v="99"/>
    <x v="58"/>
  </r>
  <r>
    <x v="2"/>
    <x v="0"/>
    <x v="6"/>
    <x v="1"/>
    <n v="182"/>
    <n v="80"/>
    <x v="165"/>
  </r>
  <r>
    <x v="2"/>
    <x v="0"/>
    <x v="7"/>
    <x v="0"/>
    <n v="78"/>
    <n v="44"/>
    <x v="79"/>
  </r>
  <r>
    <x v="2"/>
    <x v="0"/>
    <x v="7"/>
    <x v="1"/>
    <n v="153"/>
    <n v="66"/>
    <x v="166"/>
  </r>
  <r>
    <x v="2"/>
    <x v="1"/>
    <x v="0"/>
    <x v="0"/>
    <n v="186"/>
    <n v="53"/>
    <x v="140"/>
  </r>
  <r>
    <x v="2"/>
    <x v="1"/>
    <x v="0"/>
    <x v="1"/>
    <n v="182"/>
    <n v="96"/>
    <x v="94"/>
  </r>
  <r>
    <x v="2"/>
    <x v="1"/>
    <x v="1"/>
    <x v="0"/>
    <n v="94"/>
    <n v="62"/>
    <x v="121"/>
  </r>
  <r>
    <x v="2"/>
    <x v="1"/>
    <x v="1"/>
    <x v="1"/>
    <n v="102"/>
    <n v="21"/>
    <x v="0"/>
  </r>
  <r>
    <x v="2"/>
    <x v="1"/>
    <x v="2"/>
    <x v="0"/>
    <n v="66"/>
    <n v="19"/>
    <x v="167"/>
  </r>
  <r>
    <x v="2"/>
    <x v="1"/>
    <x v="2"/>
    <x v="1"/>
    <n v="102"/>
    <n v="58"/>
    <x v="23"/>
  </r>
  <r>
    <x v="2"/>
    <x v="1"/>
    <x v="3"/>
    <x v="0"/>
    <n v="108"/>
    <n v="89"/>
    <x v="168"/>
  </r>
  <r>
    <x v="2"/>
    <x v="1"/>
    <x v="3"/>
    <x v="1"/>
    <n v="179"/>
    <n v="23"/>
    <x v="169"/>
  </r>
  <r>
    <x v="2"/>
    <x v="1"/>
    <x v="4"/>
    <x v="0"/>
    <n v="214"/>
    <n v="48"/>
    <x v="165"/>
  </r>
  <r>
    <x v="2"/>
    <x v="1"/>
    <x v="4"/>
    <x v="1"/>
    <n v="180"/>
    <n v="33"/>
    <x v="7"/>
  </r>
  <r>
    <x v="2"/>
    <x v="1"/>
    <x v="5"/>
    <x v="0"/>
    <n v="233"/>
    <n v="45"/>
    <x v="94"/>
  </r>
  <r>
    <x v="2"/>
    <x v="1"/>
    <x v="5"/>
    <x v="1"/>
    <n v="169"/>
    <n v="78"/>
    <x v="76"/>
  </r>
  <r>
    <x v="2"/>
    <x v="1"/>
    <x v="6"/>
    <x v="0"/>
    <n v="251"/>
    <n v="22"/>
    <x v="48"/>
  </r>
  <r>
    <x v="2"/>
    <x v="1"/>
    <x v="6"/>
    <x v="1"/>
    <n v="44"/>
    <n v="17"/>
    <x v="170"/>
  </r>
  <r>
    <x v="2"/>
    <x v="1"/>
    <x v="7"/>
    <x v="0"/>
    <n v="232"/>
    <n v="99"/>
    <x v="70"/>
  </r>
  <r>
    <x v="2"/>
    <x v="1"/>
    <x v="7"/>
    <x v="1"/>
    <n v="187"/>
    <n v="88"/>
    <x v="171"/>
  </r>
  <r>
    <x v="2"/>
    <x v="2"/>
    <x v="0"/>
    <x v="0"/>
    <n v="159"/>
    <n v="81"/>
    <x v="35"/>
  </r>
  <r>
    <x v="2"/>
    <x v="2"/>
    <x v="0"/>
    <x v="1"/>
    <n v="142"/>
    <n v="55"/>
    <x v="168"/>
  </r>
  <r>
    <x v="2"/>
    <x v="2"/>
    <x v="1"/>
    <x v="0"/>
    <n v="49"/>
    <n v="11"/>
    <x v="172"/>
  </r>
  <r>
    <x v="2"/>
    <x v="2"/>
    <x v="1"/>
    <x v="1"/>
    <n v="187"/>
    <n v="49"/>
    <x v="173"/>
  </r>
  <r>
    <x v="2"/>
    <x v="2"/>
    <x v="2"/>
    <x v="0"/>
    <n v="131"/>
    <n v="15"/>
    <x v="43"/>
  </r>
  <r>
    <x v="2"/>
    <x v="2"/>
    <x v="2"/>
    <x v="1"/>
    <n v="74"/>
    <n v="96"/>
    <x v="174"/>
  </r>
  <r>
    <x v="2"/>
    <x v="2"/>
    <x v="3"/>
    <x v="0"/>
    <n v="63"/>
    <n v="74"/>
    <x v="20"/>
  </r>
  <r>
    <x v="2"/>
    <x v="2"/>
    <x v="3"/>
    <x v="1"/>
    <n v="231"/>
    <n v="56"/>
    <x v="139"/>
  </r>
  <r>
    <x v="2"/>
    <x v="2"/>
    <x v="4"/>
    <x v="0"/>
    <n v="228"/>
    <n v="66"/>
    <x v="16"/>
  </r>
  <r>
    <x v="2"/>
    <x v="2"/>
    <x v="4"/>
    <x v="1"/>
    <n v="49"/>
    <n v="11"/>
    <x v="172"/>
  </r>
  <r>
    <x v="2"/>
    <x v="2"/>
    <x v="5"/>
    <x v="0"/>
    <n v="104"/>
    <n v="110"/>
    <x v="175"/>
  </r>
  <r>
    <x v="2"/>
    <x v="2"/>
    <x v="5"/>
    <x v="1"/>
    <n v="228"/>
    <n v="83"/>
    <x v="112"/>
  </r>
  <r>
    <x v="2"/>
    <x v="2"/>
    <x v="6"/>
    <x v="0"/>
    <n v="217"/>
    <n v="65"/>
    <x v="46"/>
  </r>
  <r>
    <x v="2"/>
    <x v="2"/>
    <x v="6"/>
    <x v="1"/>
    <n v="70"/>
    <n v="30"/>
    <x v="145"/>
  </r>
  <r>
    <x v="2"/>
    <x v="2"/>
    <x v="7"/>
    <x v="0"/>
    <n v="112"/>
    <n v="46"/>
    <x v="27"/>
  </r>
  <r>
    <x v="2"/>
    <x v="2"/>
    <x v="7"/>
    <x v="1"/>
    <n v="213"/>
    <n v="69"/>
    <x v="46"/>
  </r>
  <r>
    <x v="2"/>
    <x v="3"/>
    <x v="0"/>
    <x v="0"/>
    <n v="194"/>
    <n v="63"/>
    <x v="106"/>
  </r>
  <r>
    <x v="2"/>
    <x v="3"/>
    <x v="0"/>
    <x v="1"/>
    <n v="87"/>
    <n v="61"/>
    <x v="93"/>
  </r>
  <r>
    <x v="2"/>
    <x v="3"/>
    <x v="1"/>
    <x v="0"/>
    <n v="185"/>
    <n v="107"/>
    <x v="122"/>
  </r>
  <r>
    <x v="2"/>
    <x v="3"/>
    <x v="1"/>
    <x v="1"/>
    <n v="89"/>
    <n v="48"/>
    <x v="20"/>
  </r>
  <r>
    <x v="2"/>
    <x v="3"/>
    <x v="2"/>
    <x v="0"/>
    <n v="81"/>
    <n v="13"/>
    <x v="12"/>
  </r>
  <r>
    <x v="2"/>
    <x v="3"/>
    <x v="2"/>
    <x v="1"/>
    <n v="157"/>
    <n v="88"/>
    <x v="10"/>
  </r>
  <r>
    <x v="2"/>
    <x v="3"/>
    <x v="3"/>
    <x v="0"/>
    <n v="112"/>
    <n v="108"/>
    <x v="176"/>
  </r>
  <r>
    <x v="2"/>
    <x v="3"/>
    <x v="3"/>
    <x v="1"/>
    <n v="247"/>
    <n v="95"/>
    <x v="177"/>
  </r>
  <r>
    <x v="2"/>
    <x v="3"/>
    <x v="4"/>
    <x v="0"/>
    <n v="145"/>
    <n v="28"/>
    <x v="178"/>
  </r>
  <r>
    <x v="2"/>
    <x v="3"/>
    <x v="4"/>
    <x v="1"/>
    <n v="180"/>
    <n v="93"/>
    <x v="48"/>
  </r>
  <r>
    <x v="2"/>
    <x v="3"/>
    <x v="5"/>
    <x v="0"/>
    <n v="137"/>
    <n v="50"/>
    <x v="179"/>
  </r>
  <r>
    <x v="2"/>
    <x v="3"/>
    <x v="5"/>
    <x v="1"/>
    <n v="61"/>
    <n v="48"/>
    <x v="52"/>
  </r>
  <r>
    <x v="2"/>
    <x v="3"/>
    <x v="6"/>
    <x v="0"/>
    <n v="159"/>
    <n v="39"/>
    <x v="72"/>
  </r>
  <r>
    <x v="2"/>
    <x v="3"/>
    <x v="6"/>
    <x v="1"/>
    <n v="185"/>
    <n v="17"/>
    <x v="169"/>
  </r>
  <r>
    <x v="2"/>
    <x v="3"/>
    <x v="7"/>
    <x v="0"/>
    <n v="205"/>
    <n v="97"/>
    <x v="65"/>
  </r>
  <r>
    <x v="2"/>
    <x v="3"/>
    <x v="7"/>
    <x v="1"/>
    <n v="230"/>
    <n v="75"/>
    <x v="180"/>
  </r>
  <r>
    <x v="2"/>
    <x v="4"/>
    <x v="0"/>
    <x v="0"/>
    <n v="55"/>
    <n v="108"/>
    <x v="49"/>
  </r>
  <r>
    <x v="2"/>
    <x v="4"/>
    <x v="0"/>
    <x v="1"/>
    <n v="67"/>
    <n v="23"/>
    <x v="116"/>
  </r>
  <r>
    <x v="2"/>
    <x v="4"/>
    <x v="1"/>
    <x v="0"/>
    <n v="135"/>
    <n v="22"/>
    <x v="181"/>
  </r>
  <r>
    <x v="2"/>
    <x v="4"/>
    <x v="1"/>
    <x v="1"/>
    <n v="198"/>
    <n v="14"/>
    <x v="5"/>
  </r>
  <r>
    <x v="2"/>
    <x v="4"/>
    <x v="2"/>
    <x v="0"/>
    <n v="205"/>
    <n v="31"/>
    <x v="173"/>
  </r>
  <r>
    <x v="2"/>
    <x v="4"/>
    <x v="2"/>
    <x v="1"/>
    <n v="115"/>
    <n v="89"/>
    <x v="182"/>
  </r>
  <r>
    <x v="2"/>
    <x v="4"/>
    <x v="3"/>
    <x v="0"/>
    <n v="139"/>
    <n v="79"/>
    <x v="55"/>
  </r>
  <r>
    <x v="2"/>
    <x v="4"/>
    <x v="3"/>
    <x v="1"/>
    <n v="259"/>
    <n v="42"/>
    <x v="22"/>
  </r>
  <r>
    <x v="2"/>
    <x v="4"/>
    <x v="4"/>
    <x v="0"/>
    <n v="99"/>
    <n v="104"/>
    <x v="183"/>
  </r>
  <r>
    <x v="2"/>
    <x v="4"/>
    <x v="4"/>
    <x v="1"/>
    <n v="53"/>
    <n v="60"/>
    <x v="184"/>
  </r>
  <r>
    <x v="2"/>
    <x v="4"/>
    <x v="5"/>
    <x v="0"/>
    <n v="165"/>
    <n v="52"/>
    <x v="19"/>
  </r>
  <r>
    <x v="2"/>
    <x v="4"/>
    <x v="5"/>
    <x v="1"/>
    <n v="209"/>
    <n v="31"/>
    <x v="35"/>
  </r>
  <r>
    <x v="2"/>
    <x v="4"/>
    <x v="6"/>
    <x v="0"/>
    <n v="161"/>
    <n v="21"/>
    <x v="185"/>
  </r>
  <r>
    <x v="2"/>
    <x v="4"/>
    <x v="6"/>
    <x v="1"/>
    <n v="214"/>
    <n v="93"/>
    <x v="95"/>
  </r>
  <r>
    <x v="2"/>
    <x v="4"/>
    <x v="7"/>
    <x v="0"/>
    <n v="175"/>
    <n v="24"/>
    <x v="104"/>
  </r>
  <r>
    <x v="2"/>
    <x v="4"/>
    <x v="7"/>
    <x v="1"/>
    <n v="242"/>
    <n v="53"/>
    <x v="186"/>
  </r>
  <r>
    <x v="2"/>
    <x v="5"/>
    <x v="0"/>
    <x v="0"/>
    <n v="145"/>
    <n v="77"/>
    <x v="162"/>
  </r>
  <r>
    <x v="2"/>
    <x v="5"/>
    <x v="0"/>
    <x v="1"/>
    <n v="139"/>
    <n v="19"/>
    <x v="27"/>
  </r>
  <r>
    <x v="2"/>
    <x v="5"/>
    <x v="1"/>
    <x v="0"/>
    <n v="238"/>
    <n v="70"/>
    <x v="92"/>
  </r>
  <r>
    <x v="2"/>
    <x v="5"/>
    <x v="1"/>
    <x v="1"/>
    <n v="235"/>
    <n v="98"/>
    <x v="82"/>
  </r>
  <r>
    <x v="2"/>
    <x v="5"/>
    <x v="2"/>
    <x v="0"/>
    <n v="223"/>
    <n v="105"/>
    <x v="141"/>
  </r>
  <r>
    <x v="2"/>
    <x v="5"/>
    <x v="2"/>
    <x v="1"/>
    <n v="248"/>
    <n v="44"/>
    <x v="122"/>
  </r>
  <r>
    <x v="2"/>
    <x v="5"/>
    <x v="3"/>
    <x v="0"/>
    <n v="175"/>
    <n v="96"/>
    <x v="152"/>
  </r>
  <r>
    <x v="2"/>
    <x v="5"/>
    <x v="3"/>
    <x v="1"/>
    <n v="177"/>
    <n v="45"/>
    <x v="162"/>
  </r>
  <r>
    <x v="2"/>
    <x v="5"/>
    <x v="4"/>
    <x v="0"/>
    <n v="228"/>
    <n v="58"/>
    <x v="187"/>
  </r>
  <r>
    <x v="2"/>
    <x v="5"/>
    <x v="4"/>
    <x v="1"/>
    <n v="57"/>
    <n v="88"/>
    <x v="17"/>
  </r>
  <r>
    <x v="2"/>
    <x v="5"/>
    <x v="5"/>
    <x v="0"/>
    <n v="50"/>
    <n v="46"/>
    <x v="71"/>
  </r>
  <r>
    <x v="2"/>
    <x v="5"/>
    <x v="5"/>
    <x v="1"/>
    <n v="86"/>
    <n v="43"/>
    <x v="142"/>
  </r>
  <r>
    <x v="2"/>
    <x v="5"/>
    <x v="6"/>
    <x v="0"/>
    <n v="214"/>
    <n v="14"/>
    <x v="96"/>
  </r>
  <r>
    <x v="2"/>
    <x v="5"/>
    <x v="6"/>
    <x v="1"/>
    <n v="83"/>
    <n v="102"/>
    <x v="3"/>
  </r>
  <r>
    <x v="2"/>
    <x v="5"/>
    <x v="7"/>
    <x v="0"/>
    <n v="77"/>
    <n v="22"/>
    <x v="188"/>
  </r>
  <r>
    <x v="2"/>
    <x v="5"/>
    <x v="7"/>
    <x v="1"/>
    <n v="69"/>
    <n v="43"/>
    <x v="33"/>
  </r>
  <r>
    <x v="2"/>
    <x v="6"/>
    <x v="0"/>
    <x v="0"/>
    <n v="207"/>
    <n v="107"/>
    <x v="146"/>
  </r>
  <r>
    <x v="2"/>
    <x v="6"/>
    <x v="0"/>
    <x v="1"/>
    <n v="232"/>
    <n v="84"/>
    <x v="61"/>
  </r>
  <r>
    <x v="2"/>
    <x v="6"/>
    <x v="1"/>
    <x v="0"/>
    <n v="239"/>
    <n v="82"/>
    <x v="137"/>
  </r>
  <r>
    <x v="2"/>
    <x v="6"/>
    <x v="1"/>
    <x v="1"/>
    <n v="241"/>
    <n v="56"/>
    <x v="189"/>
  </r>
  <r>
    <x v="2"/>
    <x v="6"/>
    <x v="2"/>
    <x v="0"/>
    <n v="157"/>
    <n v="96"/>
    <x v="190"/>
  </r>
  <r>
    <x v="2"/>
    <x v="6"/>
    <x v="2"/>
    <x v="1"/>
    <n v="158"/>
    <n v="18"/>
    <x v="191"/>
  </r>
  <r>
    <x v="2"/>
    <x v="6"/>
    <x v="3"/>
    <x v="0"/>
    <n v="123"/>
    <n v="78"/>
    <x v="124"/>
  </r>
  <r>
    <x v="2"/>
    <x v="6"/>
    <x v="3"/>
    <x v="1"/>
    <n v="251"/>
    <n v="81"/>
    <x v="81"/>
  </r>
  <r>
    <x v="2"/>
    <x v="6"/>
    <x v="4"/>
    <x v="0"/>
    <n v="146"/>
    <n v="107"/>
    <x v="190"/>
  </r>
  <r>
    <x v="2"/>
    <x v="6"/>
    <x v="4"/>
    <x v="1"/>
    <n v="245"/>
    <n v="110"/>
    <x v="192"/>
  </r>
  <r>
    <x v="2"/>
    <x v="6"/>
    <x v="5"/>
    <x v="0"/>
    <n v="62"/>
    <n v="34"/>
    <x v="71"/>
  </r>
  <r>
    <x v="2"/>
    <x v="6"/>
    <x v="5"/>
    <x v="1"/>
    <n v="240"/>
    <n v="38"/>
    <x v="94"/>
  </r>
  <r>
    <x v="2"/>
    <x v="6"/>
    <x v="6"/>
    <x v="0"/>
    <n v="214"/>
    <n v="15"/>
    <x v="193"/>
  </r>
  <r>
    <x v="2"/>
    <x v="6"/>
    <x v="6"/>
    <x v="1"/>
    <n v="129"/>
    <n v="27"/>
    <x v="121"/>
  </r>
  <r>
    <x v="2"/>
    <x v="6"/>
    <x v="7"/>
    <x v="0"/>
    <n v="187"/>
    <n v="91"/>
    <x v="94"/>
  </r>
  <r>
    <x v="2"/>
    <x v="6"/>
    <x v="7"/>
    <x v="1"/>
    <n v="58"/>
    <n v="72"/>
    <x v="135"/>
  </r>
  <r>
    <x v="2"/>
    <x v="7"/>
    <x v="0"/>
    <x v="0"/>
    <n v="98"/>
    <n v="41"/>
    <x v="164"/>
  </r>
  <r>
    <x v="2"/>
    <x v="7"/>
    <x v="0"/>
    <x v="1"/>
    <n v="121"/>
    <n v="13"/>
    <x v="194"/>
  </r>
  <r>
    <x v="2"/>
    <x v="7"/>
    <x v="1"/>
    <x v="0"/>
    <n v="174"/>
    <n v="12"/>
    <x v="28"/>
  </r>
  <r>
    <x v="2"/>
    <x v="7"/>
    <x v="1"/>
    <x v="1"/>
    <n v="228"/>
    <n v="85"/>
    <x v="110"/>
  </r>
  <r>
    <x v="2"/>
    <x v="7"/>
    <x v="2"/>
    <x v="0"/>
    <n v="193"/>
    <n v="108"/>
    <x v="22"/>
  </r>
  <r>
    <x v="2"/>
    <x v="7"/>
    <x v="2"/>
    <x v="1"/>
    <n v="154"/>
    <n v="51"/>
    <x v="13"/>
  </r>
  <r>
    <x v="2"/>
    <x v="7"/>
    <x v="3"/>
    <x v="0"/>
    <n v="192"/>
    <n v="51"/>
    <x v="37"/>
  </r>
  <r>
    <x v="2"/>
    <x v="7"/>
    <x v="3"/>
    <x v="1"/>
    <n v="160"/>
    <n v="96"/>
    <x v="195"/>
  </r>
  <r>
    <x v="2"/>
    <x v="7"/>
    <x v="4"/>
    <x v="0"/>
    <n v="92"/>
    <n v="27"/>
    <x v="138"/>
  </r>
  <r>
    <x v="2"/>
    <x v="7"/>
    <x v="4"/>
    <x v="1"/>
    <n v="127"/>
    <n v="31"/>
    <x v="27"/>
  </r>
  <r>
    <x v="2"/>
    <x v="7"/>
    <x v="5"/>
    <x v="0"/>
    <n v="139"/>
    <n v="89"/>
    <x v="96"/>
  </r>
  <r>
    <x v="2"/>
    <x v="7"/>
    <x v="5"/>
    <x v="1"/>
    <n v="208"/>
    <n v="61"/>
    <x v="196"/>
  </r>
  <r>
    <x v="2"/>
    <x v="7"/>
    <x v="6"/>
    <x v="0"/>
    <n v="200"/>
    <n v="47"/>
    <x v="76"/>
  </r>
  <r>
    <x v="2"/>
    <x v="7"/>
    <x v="6"/>
    <x v="1"/>
    <n v="176"/>
    <n v="84"/>
    <x v="197"/>
  </r>
  <r>
    <x v="2"/>
    <x v="7"/>
    <x v="7"/>
    <x v="0"/>
    <n v="41"/>
    <n v="13"/>
    <x v="198"/>
  </r>
  <r>
    <x v="2"/>
    <x v="7"/>
    <x v="7"/>
    <x v="1"/>
    <n v="126"/>
    <n v="38"/>
    <x v="101"/>
  </r>
  <r>
    <x v="3"/>
    <x v="0"/>
    <x v="0"/>
    <x v="0"/>
    <n v="98"/>
    <n v="96"/>
    <x v="36"/>
  </r>
  <r>
    <x v="3"/>
    <x v="0"/>
    <x v="0"/>
    <x v="1"/>
    <n v="172"/>
    <n v="88"/>
    <x v="197"/>
  </r>
  <r>
    <x v="3"/>
    <x v="0"/>
    <x v="1"/>
    <x v="0"/>
    <n v="221"/>
    <n v="32"/>
    <x v="190"/>
  </r>
  <r>
    <x v="3"/>
    <x v="0"/>
    <x v="1"/>
    <x v="1"/>
    <n v="235"/>
    <n v="81"/>
    <x v="61"/>
  </r>
  <r>
    <x v="3"/>
    <x v="0"/>
    <x v="2"/>
    <x v="0"/>
    <n v="114"/>
    <n v="50"/>
    <x v="101"/>
  </r>
  <r>
    <x v="3"/>
    <x v="0"/>
    <x v="2"/>
    <x v="1"/>
    <n v="158"/>
    <n v="26"/>
    <x v="77"/>
  </r>
  <r>
    <x v="3"/>
    <x v="0"/>
    <x v="3"/>
    <x v="0"/>
    <n v="102"/>
    <n v="63"/>
    <x v="80"/>
  </r>
  <r>
    <x v="3"/>
    <x v="0"/>
    <x v="3"/>
    <x v="1"/>
    <n v="71"/>
    <n v="84"/>
    <x v="158"/>
  </r>
  <r>
    <x v="3"/>
    <x v="0"/>
    <x v="4"/>
    <x v="0"/>
    <n v="62"/>
    <n v="57"/>
    <x v="138"/>
  </r>
  <r>
    <x v="3"/>
    <x v="0"/>
    <x v="4"/>
    <x v="1"/>
    <n v="65"/>
    <n v="88"/>
    <x v="199"/>
  </r>
  <r>
    <x v="3"/>
    <x v="0"/>
    <x v="5"/>
    <x v="0"/>
    <n v="54"/>
    <n v="42"/>
    <x v="71"/>
  </r>
  <r>
    <x v="3"/>
    <x v="0"/>
    <x v="5"/>
    <x v="1"/>
    <n v="182"/>
    <n v="39"/>
    <x v="30"/>
  </r>
  <r>
    <x v="3"/>
    <x v="0"/>
    <x v="6"/>
    <x v="0"/>
    <n v="144"/>
    <n v="110"/>
    <x v="200"/>
  </r>
  <r>
    <x v="3"/>
    <x v="0"/>
    <x v="6"/>
    <x v="1"/>
    <n v="112"/>
    <n v="82"/>
    <x v="36"/>
  </r>
  <r>
    <x v="3"/>
    <x v="0"/>
    <x v="7"/>
    <x v="0"/>
    <n v="170"/>
    <n v="88"/>
    <x v="201"/>
  </r>
  <r>
    <x v="3"/>
    <x v="0"/>
    <x v="7"/>
    <x v="1"/>
    <n v="196"/>
    <n v="50"/>
    <x v="74"/>
  </r>
  <r>
    <x v="3"/>
    <x v="1"/>
    <x v="0"/>
    <x v="0"/>
    <n v="228"/>
    <n v="76"/>
    <x v="202"/>
  </r>
  <r>
    <x v="3"/>
    <x v="1"/>
    <x v="0"/>
    <x v="1"/>
    <n v="239"/>
    <n v="82"/>
    <x v="137"/>
  </r>
  <r>
    <x v="3"/>
    <x v="1"/>
    <x v="1"/>
    <x v="0"/>
    <n v="219"/>
    <n v="107"/>
    <x v="203"/>
  </r>
  <r>
    <x v="3"/>
    <x v="1"/>
    <x v="1"/>
    <x v="1"/>
    <n v="205"/>
    <n v="47"/>
    <x v="111"/>
  </r>
  <r>
    <x v="3"/>
    <x v="1"/>
    <x v="2"/>
    <x v="0"/>
    <n v="129"/>
    <n v="40"/>
    <x v="58"/>
  </r>
  <r>
    <x v="3"/>
    <x v="1"/>
    <x v="2"/>
    <x v="1"/>
    <n v="48"/>
    <n v="48"/>
    <x v="71"/>
  </r>
  <r>
    <x v="3"/>
    <x v="1"/>
    <x v="3"/>
    <x v="0"/>
    <n v="177"/>
    <n v="90"/>
    <x v="204"/>
  </r>
  <r>
    <x v="3"/>
    <x v="1"/>
    <x v="3"/>
    <x v="1"/>
    <n v="83"/>
    <n v="83"/>
    <x v="53"/>
  </r>
  <r>
    <x v="3"/>
    <x v="1"/>
    <x v="4"/>
    <x v="0"/>
    <n v="138"/>
    <n v="106"/>
    <x v="83"/>
  </r>
  <r>
    <x v="3"/>
    <x v="1"/>
    <x v="4"/>
    <x v="1"/>
    <n v="77"/>
    <n v="10"/>
    <x v="205"/>
  </r>
  <r>
    <x v="3"/>
    <x v="1"/>
    <x v="5"/>
    <x v="0"/>
    <n v="157"/>
    <n v="10"/>
    <x v="206"/>
  </r>
  <r>
    <x v="3"/>
    <x v="1"/>
    <x v="5"/>
    <x v="1"/>
    <n v="128"/>
    <n v="62"/>
    <x v="114"/>
  </r>
  <r>
    <x v="3"/>
    <x v="1"/>
    <x v="6"/>
    <x v="0"/>
    <n v="220"/>
    <n v="92"/>
    <x v="207"/>
  </r>
  <r>
    <x v="3"/>
    <x v="1"/>
    <x v="6"/>
    <x v="1"/>
    <n v="105"/>
    <n v="25"/>
    <x v="135"/>
  </r>
  <r>
    <x v="3"/>
    <x v="1"/>
    <x v="7"/>
    <x v="0"/>
    <n v="260"/>
    <n v="101"/>
    <x v="208"/>
  </r>
  <r>
    <x v="3"/>
    <x v="1"/>
    <x v="7"/>
    <x v="1"/>
    <n v="42"/>
    <n v="45"/>
    <x v="205"/>
  </r>
  <r>
    <x v="3"/>
    <x v="2"/>
    <x v="0"/>
    <x v="0"/>
    <n v="151"/>
    <n v="59"/>
    <x v="57"/>
  </r>
  <r>
    <x v="3"/>
    <x v="2"/>
    <x v="0"/>
    <x v="1"/>
    <n v="258"/>
    <n v="60"/>
    <x v="51"/>
  </r>
  <r>
    <x v="3"/>
    <x v="2"/>
    <x v="1"/>
    <x v="0"/>
    <n v="215"/>
    <n v="13"/>
    <x v="96"/>
  </r>
  <r>
    <x v="3"/>
    <x v="2"/>
    <x v="1"/>
    <x v="1"/>
    <n v="153"/>
    <n v="94"/>
    <x v="76"/>
  </r>
  <r>
    <x v="3"/>
    <x v="2"/>
    <x v="2"/>
    <x v="0"/>
    <n v="130"/>
    <n v="97"/>
    <x v="209"/>
  </r>
  <r>
    <x v="3"/>
    <x v="2"/>
    <x v="2"/>
    <x v="1"/>
    <n v="174"/>
    <n v="83"/>
    <x v="106"/>
  </r>
  <r>
    <x v="3"/>
    <x v="2"/>
    <x v="3"/>
    <x v="0"/>
    <n v="172"/>
    <n v="36"/>
    <x v="87"/>
  </r>
  <r>
    <x v="3"/>
    <x v="2"/>
    <x v="3"/>
    <x v="1"/>
    <n v="247"/>
    <n v="110"/>
    <x v="210"/>
  </r>
  <r>
    <x v="3"/>
    <x v="2"/>
    <x v="4"/>
    <x v="0"/>
    <n v="189"/>
    <n v="75"/>
    <x v="211"/>
  </r>
  <r>
    <x v="3"/>
    <x v="2"/>
    <x v="4"/>
    <x v="1"/>
    <n v="140"/>
    <n v="54"/>
    <x v="36"/>
  </r>
  <r>
    <x v="3"/>
    <x v="2"/>
    <x v="5"/>
    <x v="0"/>
    <n v="161"/>
    <n v="33"/>
    <x v="36"/>
  </r>
  <r>
    <x v="3"/>
    <x v="2"/>
    <x v="5"/>
    <x v="1"/>
    <n v="232"/>
    <n v="66"/>
    <x v="212"/>
  </r>
  <r>
    <x v="3"/>
    <x v="2"/>
    <x v="6"/>
    <x v="0"/>
    <n v="53"/>
    <n v="96"/>
    <x v="213"/>
  </r>
  <r>
    <x v="3"/>
    <x v="2"/>
    <x v="6"/>
    <x v="1"/>
    <n v="77"/>
    <n v="22"/>
    <x v="188"/>
  </r>
  <r>
    <x v="3"/>
    <x v="2"/>
    <x v="7"/>
    <x v="0"/>
    <n v="174"/>
    <n v="72"/>
    <x v="74"/>
  </r>
  <r>
    <x v="3"/>
    <x v="2"/>
    <x v="7"/>
    <x v="1"/>
    <n v="201"/>
    <n v="67"/>
    <x v="214"/>
  </r>
  <r>
    <x v="3"/>
    <x v="3"/>
    <x v="0"/>
    <x v="0"/>
    <n v="258"/>
    <n v="12"/>
    <x v="215"/>
  </r>
  <r>
    <x v="3"/>
    <x v="3"/>
    <x v="0"/>
    <x v="1"/>
    <n v="155"/>
    <n v="35"/>
    <x v="114"/>
  </r>
  <r>
    <x v="3"/>
    <x v="3"/>
    <x v="1"/>
    <x v="0"/>
    <n v="171"/>
    <n v="54"/>
    <x v="133"/>
  </r>
  <r>
    <x v="3"/>
    <x v="3"/>
    <x v="1"/>
    <x v="1"/>
    <n v="240"/>
    <n v="56"/>
    <x v="11"/>
  </r>
  <r>
    <x v="3"/>
    <x v="3"/>
    <x v="2"/>
    <x v="0"/>
    <n v="204"/>
    <n v="16"/>
    <x v="176"/>
  </r>
  <r>
    <x v="3"/>
    <x v="3"/>
    <x v="2"/>
    <x v="1"/>
    <n v="255"/>
    <n v="21"/>
    <x v="149"/>
  </r>
  <r>
    <x v="3"/>
    <x v="3"/>
    <x v="3"/>
    <x v="0"/>
    <n v="128"/>
    <n v="23"/>
    <x v="109"/>
  </r>
  <r>
    <x v="3"/>
    <x v="3"/>
    <x v="3"/>
    <x v="1"/>
    <n v="220"/>
    <n v="87"/>
    <x v="95"/>
  </r>
  <r>
    <x v="3"/>
    <x v="3"/>
    <x v="4"/>
    <x v="0"/>
    <n v="43"/>
    <n v="105"/>
    <x v="93"/>
  </r>
  <r>
    <x v="3"/>
    <x v="3"/>
    <x v="4"/>
    <x v="1"/>
    <n v="108"/>
    <n v="11"/>
    <x v="138"/>
  </r>
  <r>
    <x v="3"/>
    <x v="3"/>
    <x v="5"/>
    <x v="0"/>
    <n v="260"/>
    <n v="89"/>
    <x v="216"/>
  </r>
  <r>
    <x v="3"/>
    <x v="3"/>
    <x v="5"/>
    <x v="1"/>
    <n v="84"/>
    <n v="52"/>
    <x v="217"/>
  </r>
  <r>
    <x v="3"/>
    <x v="3"/>
    <x v="6"/>
    <x v="0"/>
    <n v="216"/>
    <n v="66"/>
    <x v="46"/>
  </r>
  <r>
    <x v="3"/>
    <x v="3"/>
    <x v="6"/>
    <x v="1"/>
    <n v="191"/>
    <n v="73"/>
    <x v="211"/>
  </r>
  <r>
    <x v="3"/>
    <x v="3"/>
    <x v="7"/>
    <x v="0"/>
    <n v="183"/>
    <n v="23"/>
    <x v="119"/>
  </r>
  <r>
    <x v="3"/>
    <x v="3"/>
    <x v="7"/>
    <x v="1"/>
    <n v="98"/>
    <n v="12"/>
    <x v="218"/>
  </r>
  <r>
    <x v="3"/>
    <x v="4"/>
    <x v="0"/>
    <x v="0"/>
    <n v="126"/>
    <n v="51"/>
    <x v="219"/>
  </r>
  <r>
    <x v="3"/>
    <x v="4"/>
    <x v="0"/>
    <x v="1"/>
    <n v="138"/>
    <n v="83"/>
    <x v="30"/>
  </r>
  <r>
    <x v="3"/>
    <x v="4"/>
    <x v="1"/>
    <x v="0"/>
    <n v="189"/>
    <n v="24"/>
    <x v="7"/>
  </r>
  <r>
    <x v="3"/>
    <x v="4"/>
    <x v="1"/>
    <x v="1"/>
    <n v="255"/>
    <n v="94"/>
    <x v="216"/>
  </r>
  <r>
    <x v="3"/>
    <x v="4"/>
    <x v="2"/>
    <x v="0"/>
    <n v="147"/>
    <n v="20"/>
    <x v="206"/>
  </r>
  <r>
    <x v="3"/>
    <x v="4"/>
    <x v="2"/>
    <x v="1"/>
    <n v="249"/>
    <n v="79"/>
    <x v="141"/>
  </r>
  <r>
    <x v="3"/>
    <x v="4"/>
    <x v="3"/>
    <x v="0"/>
    <n v="142"/>
    <n v="83"/>
    <x v="133"/>
  </r>
  <r>
    <x v="3"/>
    <x v="4"/>
    <x v="3"/>
    <x v="1"/>
    <n v="177"/>
    <n v="64"/>
    <x v="220"/>
  </r>
  <r>
    <x v="3"/>
    <x v="4"/>
    <x v="4"/>
    <x v="0"/>
    <n v="108"/>
    <n v="21"/>
    <x v="142"/>
  </r>
  <r>
    <x v="3"/>
    <x v="4"/>
    <x v="4"/>
    <x v="1"/>
    <n v="158"/>
    <n v="48"/>
    <x v="119"/>
  </r>
  <r>
    <x v="3"/>
    <x v="4"/>
    <x v="5"/>
    <x v="0"/>
    <n v="146"/>
    <n v="98"/>
    <x v="83"/>
  </r>
  <r>
    <x v="3"/>
    <x v="4"/>
    <x v="5"/>
    <x v="1"/>
    <n v="144"/>
    <n v="65"/>
    <x v="130"/>
  </r>
  <r>
    <x v="3"/>
    <x v="4"/>
    <x v="6"/>
    <x v="0"/>
    <n v="131"/>
    <n v="44"/>
    <x v="99"/>
  </r>
  <r>
    <x v="3"/>
    <x v="4"/>
    <x v="6"/>
    <x v="1"/>
    <n v="214"/>
    <n v="61"/>
    <x v="171"/>
  </r>
  <r>
    <x v="3"/>
    <x v="4"/>
    <x v="7"/>
    <x v="0"/>
    <n v="212"/>
    <n v="46"/>
    <x v="201"/>
  </r>
  <r>
    <x v="3"/>
    <x v="4"/>
    <x v="7"/>
    <x v="1"/>
    <n v="115"/>
    <n v="10"/>
    <x v="221"/>
  </r>
  <r>
    <x v="3"/>
    <x v="5"/>
    <x v="0"/>
    <x v="0"/>
    <n v="44"/>
    <n v="95"/>
    <x v="164"/>
  </r>
  <r>
    <x v="3"/>
    <x v="5"/>
    <x v="0"/>
    <x v="1"/>
    <n v="125"/>
    <n v="80"/>
    <x v="13"/>
  </r>
  <r>
    <x v="3"/>
    <x v="5"/>
    <x v="1"/>
    <x v="0"/>
    <n v="149"/>
    <n v="31"/>
    <x v="54"/>
  </r>
  <r>
    <x v="3"/>
    <x v="5"/>
    <x v="1"/>
    <x v="1"/>
    <n v="77"/>
    <n v="14"/>
    <x v="147"/>
  </r>
  <r>
    <x v="3"/>
    <x v="5"/>
    <x v="2"/>
    <x v="0"/>
    <n v="55"/>
    <n v="21"/>
    <x v="222"/>
  </r>
  <r>
    <x v="3"/>
    <x v="5"/>
    <x v="2"/>
    <x v="1"/>
    <n v="253"/>
    <n v="94"/>
    <x v="223"/>
  </r>
  <r>
    <x v="3"/>
    <x v="5"/>
    <x v="3"/>
    <x v="0"/>
    <n v="164"/>
    <n v="49"/>
    <x v="7"/>
  </r>
  <r>
    <x v="3"/>
    <x v="5"/>
    <x v="3"/>
    <x v="1"/>
    <n v="79"/>
    <n v="12"/>
    <x v="147"/>
  </r>
  <r>
    <x v="3"/>
    <x v="5"/>
    <x v="4"/>
    <x v="0"/>
    <n v="60"/>
    <n v="100"/>
    <x v="23"/>
  </r>
  <r>
    <x v="3"/>
    <x v="5"/>
    <x v="4"/>
    <x v="1"/>
    <n v="92"/>
    <n v="78"/>
    <x v="174"/>
  </r>
  <r>
    <x v="3"/>
    <x v="5"/>
    <x v="5"/>
    <x v="0"/>
    <n v="40"/>
    <n v="79"/>
    <x v="138"/>
  </r>
  <r>
    <x v="3"/>
    <x v="5"/>
    <x v="5"/>
    <x v="1"/>
    <n v="193"/>
    <n v="23"/>
    <x v="2"/>
  </r>
  <r>
    <x v="3"/>
    <x v="5"/>
    <x v="6"/>
    <x v="0"/>
    <n v="239"/>
    <n v="44"/>
    <x v="73"/>
  </r>
  <r>
    <x v="3"/>
    <x v="5"/>
    <x v="6"/>
    <x v="1"/>
    <n v="129"/>
    <n v="83"/>
    <x v="5"/>
  </r>
  <r>
    <x v="3"/>
    <x v="5"/>
    <x v="7"/>
    <x v="0"/>
    <n v="203"/>
    <n v="75"/>
    <x v="94"/>
  </r>
  <r>
    <x v="3"/>
    <x v="5"/>
    <x v="7"/>
    <x v="1"/>
    <n v="232"/>
    <n v="37"/>
    <x v="196"/>
  </r>
  <r>
    <x v="3"/>
    <x v="6"/>
    <x v="0"/>
    <x v="0"/>
    <n v="88"/>
    <n v="45"/>
    <x v="224"/>
  </r>
  <r>
    <x v="3"/>
    <x v="6"/>
    <x v="0"/>
    <x v="1"/>
    <n v="42"/>
    <n v="104"/>
    <x v="43"/>
  </r>
  <r>
    <x v="3"/>
    <x v="6"/>
    <x v="1"/>
    <x v="0"/>
    <n v="179"/>
    <n v="50"/>
    <x v="193"/>
  </r>
  <r>
    <x v="3"/>
    <x v="6"/>
    <x v="1"/>
    <x v="1"/>
    <n v="203"/>
    <n v="22"/>
    <x v="133"/>
  </r>
  <r>
    <x v="3"/>
    <x v="6"/>
    <x v="2"/>
    <x v="0"/>
    <n v="53"/>
    <n v="80"/>
    <x v="224"/>
  </r>
  <r>
    <x v="3"/>
    <x v="6"/>
    <x v="2"/>
    <x v="1"/>
    <n v="55"/>
    <n v="65"/>
    <x v="118"/>
  </r>
  <r>
    <x v="3"/>
    <x v="6"/>
    <x v="3"/>
    <x v="0"/>
    <n v="79"/>
    <n v="61"/>
    <x v="225"/>
  </r>
  <r>
    <x v="3"/>
    <x v="6"/>
    <x v="3"/>
    <x v="1"/>
    <n v="150"/>
    <n v="73"/>
    <x v="148"/>
  </r>
  <r>
    <x v="3"/>
    <x v="6"/>
    <x v="4"/>
    <x v="0"/>
    <n v="235"/>
    <n v="47"/>
    <x v="46"/>
  </r>
  <r>
    <x v="3"/>
    <x v="6"/>
    <x v="4"/>
    <x v="1"/>
    <n v="57"/>
    <n v="67"/>
    <x v="1"/>
  </r>
  <r>
    <x v="3"/>
    <x v="6"/>
    <x v="5"/>
    <x v="0"/>
    <n v="198"/>
    <n v="84"/>
    <x v="46"/>
  </r>
  <r>
    <x v="3"/>
    <x v="6"/>
    <x v="5"/>
    <x v="1"/>
    <n v="175"/>
    <n v="65"/>
    <x v="35"/>
  </r>
  <r>
    <x v="3"/>
    <x v="6"/>
    <x v="6"/>
    <x v="0"/>
    <n v="196"/>
    <n v="43"/>
    <x v="140"/>
  </r>
  <r>
    <x v="3"/>
    <x v="6"/>
    <x v="6"/>
    <x v="1"/>
    <n v="140"/>
    <n v="46"/>
    <x v="28"/>
  </r>
  <r>
    <x v="3"/>
    <x v="6"/>
    <x v="7"/>
    <x v="0"/>
    <n v="219"/>
    <n v="38"/>
    <x v="106"/>
  </r>
  <r>
    <x v="3"/>
    <x v="6"/>
    <x v="7"/>
    <x v="1"/>
    <n v="216"/>
    <n v="49"/>
    <x v="226"/>
  </r>
  <r>
    <x v="3"/>
    <x v="7"/>
    <x v="0"/>
    <x v="0"/>
    <n v="115"/>
    <n v="31"/>
    <x v="43"/>
  </r>
  <r>
    <x v="3"/>
    <x v="7"/>
    <x v="0"/>
    <x v="1"/>
    <n v="95"/>
    <n v="70"/>
    <x v="80"/>
  </r>
  <r>
    <x v="3"/>
    <x v="7"/>
    <x v="1"/>
    <x v="0"/>
    <n v="205"/>
    <n v="74"/>
    <x v="66"/>
  </r>
  <r>
    <x v="3"/>
    <x v="7"/>
    <x v="1"/>
    <x v="1"/>
    <n v="97"/>
    <n v="35"/>
    <x v="123"/>
  </r>
  <r>
    <x v="3"/>
    <x v="7"/>
    <x v="2"/>
    <x v="0"/>
    <n v="146"/>
    <n v="30"/>
    <x v="191"/>
  </r>
  <r>
    <x v="3"/>
    <x v="7"/>
    <x v="2"/>
    <x v="1"/>
    <n v="183"/>
    <n v="106"/>
    <x v="41"/>
  </r>
  <r>
    <x v="3"/>
    <x v="7"/>
    <x v="3"/>
    <x v="0"/>
    <n v="117"/>
    <n v="52"/>
    <x v="58"/>
  </r>
  <r>
    <x v="3"/>
    <x v="7"/>
    <x v="3"/>
    <x v="1"/>
    <n v="237"/>
    <n v="71"/>
    <x v="92"/>
  </r>
  <r>
    <x v="3"/>
    <x v="7"/>
    <x v="4"/>
    <x v="0"/>
    <n v="200"/>
    <n v="109"/>
    <x v="107"/>
  </r>
  <r>
    <x v="3"/>
    <x v="7"/>
    <x v="4"/>
    <x v="1"/>
    <n v="133"/>
    <n v="104"/>
    <x v="88"/>
  </r>
  <r>
    <x v="3"/>
    <x v="7"/>
    <x v="5"/>
    <x v="0"/>
    <n v="212"/>
    <n v="28"/>
    <x v="35"/>
  </r>
  <r>
    <x v="3"/>
    <x v="7"/>
    <x v="5"/>
    <x v="1"/>
    <n v="80"/>
    <n v="103"/>
    <x v="60"/>
  </r>
  <r>
    <x v="3"/>
    <x v="7"/>
    <x v="6"/>
    <x v="0"/>
    <n v="201"/>
    <n v="71"/>
    <x v="157"/>
  </r>
  <r>
    <x v="3"/>
    <x v="7"/>
    <x v="6"/>
    <x v="1"/>
    <n v="50"/>
    <n v="36"/>
    <x v="227"/>
  </r>
  <r>
    <x v="3"/>
    <x v="7"/>
    <x v="7"/>
    <x v="0"/>
    <n v="236"/>
    <n v="25"/>
    <x v="150"/>
  </r>
  <r>
    <x v="3"/>
    <x v="7"/>
    <x v="7"/>
    <x v="1"/>
    <n v="241"/>
    <n v="23"/>
    <x v="211"/>
  </r>
  <r>
    <x v="4"/>
    <x v="0"/>
    <x v="0"/>
    <x v="0"/>
    <n v="185"/>
    <n v="109"/>
    <x v="16"/>
  </r>
  <r>
    <x v="4"/>
    <x v="0"/>
    <x v="0"/>
    <x v="1"/>
    <n v="59"/>
    <n v="53"/>
    <x v="33"/>
  </r>
  <r>
    <x v="4"/>
    <x v="0"/>
    <x v="1"/>
    <x v="0"/>
    <n v="135"/>
    <n v="46"/>
    <x v="228"/>
  </r>
  <r>
    <x v="4"/>
    <x v="0"/>
    <x v="1"/>
    <x v="1"/>
    <n v="64"/>
    <n v="21"/>
    <x v="167"/>
  </r>
  <r>
    <x v="4"/>
    <x v="0"/>
    <x v="2"/>
    <x v="0"/>
    <n v="163"/>
    <n v="18"/>
    <x v="228"/>
  </r>
  <r>
    <x v="4"/>
    <x v="0"/>
    <x v="2"/>
    <x v="1"/>
    <n v="105"/>
    <n v="17"/>
    <x v="79"/>
  </r>
  <r>
    <x v="4"/>
    <x v="0"/>
    <x v="3"/>
    <x v="0"/>
    <n v="221"/>
    <n v="80"/>
    <x v="22"/>
  </r>
  <r>
    <x v="4"/>
    <x v="0"/>
    <x v="3"/>
    <x v="1"/>
    <n v="206"/>
    <n v="76"/>
    <x v="46"/>
  </r>
  <r>
    <x v="4"/>
    <x v="0"/>
    <x v="4"/>
    <x v="0"/>
    <n v="119"/>
    <n v="85"/>
    <x v="182"/>
  </r>
  <r>
    <x v="4"/>
    <x v="0"/>
    <x v="4"/>
    <x v="1"/>
    <n v="74"/>
    <n v="50"/>
    <x v="1"/>
  </r>
  <r>
    <x v="4"/>
    <x v="0"/>
    <x v="5"/>
    <x v="0"/>
    <n v="144"/>
    <n v="104"/>
    <x v="229"/>
  </r>
  <r>
    <x v="4"/>
    <x v="0"/>
    <x v="5"/>
    <x v="1"/>
    <n v="88"/>
    <n v="63"/>
    <x v="109"/>
  </r>
  <r>
    <x v="4"/>
    <x v="0"/>
    <x v="6"/>
    <x v="0"/>
    <n v="197"/>
    <n v="66"/>
    <x v="129"/>
  </r>
  <r>
    <x v="4"/>
    <x v="0"/>
    <x v="6"/>
    <x v="1"/>
    <n v="172"/>
    <n v="109"/>
    <x v="47"/>
  </r>
  <r>
    <x v="4"/>
    <x v="0"/>
    <x v="7"/>
    <x v="0"/>
    <n v="126"/>
    <n v="48"/>
    <x v="15"/>
  </r>
  <r>
    <x v="4"/>
    <x v="0"/>
    <x v="7"/>
    <x v="1"/>
    <n v="55"/>
    <n v="45"/>
    <x v="145"/>
  </r>
  <r>
    <x v="4"/>
    <x v="1"/>
    <x v="0"/>
    <x v="0"/>
    <n v="257"/>
    <n v="12"/>
    <x v="196"/>
  </r>
  <r>
    <x v="4"/>
    <x v="1"/>
    <x v="0"/>
    <x v="1"/>
    <n v="225"/>
    <n v="62"/>
    <x v="139"/>
  </r>
  <r>
    <x v="4"/>
    <x v="1"/>
    <x v="1"/>
    <x v="0"/>
    <n v="89"/>
    <n v="64"/>
    <x v="199"/>
  </r>
  <r>
    <x v="4"/>
    <x v="1"/>
    <x v="1"/>
    <x v="1"/>
    <n v="66"/>
    <n v="74"/>
    <x v="225"/>
  </r>
  <r>
    <x v="4"/>
    <x v="1"/>
    <x v="2"/>
    <x v="0"/>
    <n v="100"/>
    <n v="80"/>
    <x v="54"/>
  </r>
  <r>
    <x v="4"/>
    <x v="1"/>
    <x v="2"/>
    <x v="1"/>
    <n v="105"/>
    <n v="90"/>
    <x v="230"/>
  </r>
  <r>
    <x v="4"/>
    <x v="1"/>
    <x v="3"/>
    <x v="0"/>
    <n v="115"/>
    <n v="19"/>
    <x v="194"/>
  </r>
  <r>
    <x v="4"/>
    <x v="1"/>
    <x v="3"/>
    <x v="1"/>
    <n v="128"/>
    <n v="19"/>
    <x v="59"/>
  </r>
  <r>
    <x v="4"/>
    <x v="1"/>
    <x v="4"/>
    <x v="0"/>
    <n v="143"/>
    <n v="90"/>
    <x v="136"/>
  </r>
  <r>
    <x v="4"/>
    <x v="1"/>
    <x v="4"/>
    <x v="1"/>
    <n v="108"/>
    <n v="106"/>
    <x v="175"/>
  </r>
  <r>
    <x v="4"/>
    <x v="1"/>
    <x v="5"/>
    <x v="0"/>
    <n v="78"/>
    <n v="75"/>
    <x v="199"/>
  </r>
  <r>
    <x v="4"/>
    <x v="1"/>
    <x v="5"/>
    <x v="1"/>
    <n v="62"/>
    <n v="109"/>
    <x v="231"/>
  </r>
  <r>
    <x v="4"/>
    <x v="1"/>
    <x v="6"/>
    <x v="0"/>
    <n v="40"/>
    <n v="102"/>
    <x v="85"/>
  </r>
  <r>
    <x v="4"/>
    <x v="1"/>
    <x v="6"/>
    <x v="1"/>
    <n v="151"/>
    <n v="109"/>
    <x v="197"/>
  </r>
  <r>
    <x v="4"/>
    <x v="1"/>
    <x v="7"/>
    <x v="0"/>
    <n v="218"/>
    <n v="21"/>
    <x v="140"/>
  </r>
  <r>
    <x v="4"/>
    <x v="1"/>
    <x v="7"/>
    <x v="1"/>
    <n v="165"/>
    <n v="53"/>
    <x v="55"/>
  </r>
  <r>
    <x v="4"/>
    <x v="2"/>
    <x v="0"/>
    <x v="0"/>
    <n v="196"/>
    <n v="22"/>
    <x v="55"/>
  </r>
  <r>
    <x v="4"/>
    <x v="2"/>
    <x v="0"/>
    <x v="1"/>
    <n v="74"/>
    <n v="40"/>
    <x v="232"/>
  </r>
  <r>
    <x v="4"/>
    <x v="2"/>
    <x v="1"/>
    <x v="0"/>
    <n v="136"/>
    <n v="68"/>
    <x v="182"/>
  </r>
  <r>
    <x v="4"/>
    <x v="2"/>
    <x v="1"/>
    <x v="1"/>
    <n v="180"/>
    <n v="107"/>
    <x v="139"/>
  </r>
  <r>
    <x v="4"/>
    <x v="2"/>
    <x v="2"/>
    <x v="0"/>
    <n v="255"/>
    <n v="25"/>
    <x v="108"/>
  </r>
  <r>
    <x v="4"/>
    <x v="2"/>
    <x v="2"/>
    <x v="1"/>
    <n v="44"/>
    <n v="84"/>
    <x v="233"/>
  </r>
  <r>
    <x v="4"/>
    <x v="2"/>
    <x v="3"/>
    <x v="0"/>
    <n v="135"/>
    <n v="36"/>
    <x v="231"/>
  </r>
  <r>
    <x v="4"/>
    <x v="2"/>
    <x v="3"/>
    <x v="1"/>
    <n v="217"/>
    <n v="72"/>
    <x v="41"/>
  </r>
  <r>
    <x v="4"/>
    <x v="2"/>
    <x v="4"/>
    <x v="0"/>
    <n v="48"/>
    <n v="50"/>
    <x v="234"/>
  </r>
  <r>
    <x v="4"/>
    <x v="2"/>
    <x v="4"/>
    <x v="1"/>
    <n v="167"/>
    <n v="62"/>
    <x v="193"/>
  </r>
  <r>
    <x v="4"/>
    <x v="2"/>
    <x v="5"/>
    <x v="0"/>
    <n v="144"/>
    <n v="44"/>
    <x v="18"/>
  </r>
  <r>
    <x v="4"/>
    <x v="2"/>
    <x v="5"/>
    <x v="1"/>
    <n v="49"/>
    <n v="47"/>
    <x v="71"/>
  </r>
  <r>
    <x v="4"/>
    <x v="2"/>
    <x v="6"/>
    <x v="0"/>
    <n v="174"/>
    <n v="85"/>
    <x v="34"/>
  </r>
  <r>
    <x v="4"/>
    <x v="2"/>
    <x v="6"/>
    <x v="1"/>
    <n v="137"/>
    <n v="17"/>
    <x v="84"/>
  </r>
  <r>
    <x v="4"/>
    <x v="2"/>
    <x v="7"/>
    <x v="0"/>
    <n v="164"/>
    <n v="21"/>
    <x v="3"/>
  </r>
  <r>
    <x v="4"/>
    <x v="2"/>
    <x v="7"/>
    <x v="1"/>
    <n v="118"/>
    <n v="85"/>
    <x v="183"/>
  </r>
  <r>
    <x v="4"/>
    <x v="3"/>
    <x v="0"/>
    <x v="0"/>
    <n v="118"/>
    <n v="50"/>
    <x v="235"/>
  </r>
  <r>
    <x v="4"/>
    <x v="3"/>
    <x v="0"/>
    <x v="1"/>
    <n v="173"/>
    <n v="11"/>
    <x v="77"/>
  </r>
  <r>
    <x v="4"/>
    <x v="3"/>
    <x v="1"/>
    <x v="0"/>
    <n v="137"/>
    <n v="93"/>
    <x v="25"/>
  </r>
  <r>
    <x v="4"/>
    <x v="3"/>
    <x v="1"/>
    <x v="1"/>
    <n v="59"/>
    <n v="43"/>
    <x v="159"/>
  </r>
  <r>
    <x v="4"/>
    <x v="3"/>
    <x v="2"/>
    <x v="0"/>
    <n v="66"/>
    <n v="82"/>
    <x v="93"/>
  </r>
  <r>
    <x v="4"/>
    <x v="3"/>
    <x v="2"/>
    <x v="1"/>
    <n v="248"/>
    <n v="41"/>
    <x v="41"/>
  </r>
  <r>
    <x v="4"/>
    <x v="3"/>
    <x v="3"/>
    <x v="0"/>
    <n v="45"/>
    <n v="11"/>
    <x v="236"/>
  </r>
  <r>
    <x v="4"/>
    <x v="3"/>
    <x v="3"/>
    <x v="1"/>
    <n v="40"/>
    <n v="76"/>
    <x v="237"/>
  </r>
  <r>
    <x v="4"/>
    <x v="3"/>
    <x v="4"/>
    <x v="0"/>
    <n v="197"/>
    <n v="29"/>
    <x v="115"/>
  </r>
  <r>
    <x v="4"/>
    <x v="3"/>
    <x v="4"/>
    <x v="1"/>
    <n v="103"/>
    <n v="13"/>
    <x v="237"/>
  </r>
  <r>
    <x v="4"/>
    <x v="3"/>
    <x v="5"/>
    <x v="0"/>
    <n v="175"/>
    <n v="109"/>
    <x v="238"/>
  </r>
  <r>
    <x v="4"/>
    <x v="3"/>
    <x v="5"/>
    <x v="1"/>
    <n v="234"/>
    <n v="24"/>
    <x v="201"/>
  </r>
  <r>
    <x v="4"/>
    <x v="3"/>
    <x v="6"/>
    <x v="0"/>
    <n v="194"/>
    <n v="68"/>
    <x v="165"/>
  </r>
  <r>
    <x v="4"/>
    <x v="3"/>
    <x v="6"/>
    <x v="1"/>
    <n v="198"/>
    <n v="62"/>
    <x v="197"/>
  </r>
  <r>
    <x v="4"/>
    <x v="3"/>
    <x v="7"/>
    <x v="0"/>
    <n v="53"/>
    <n v="103"/>
    <x v="121"/>
  </r>
  <r>
    <x v="4"/>
    <x v="3"/>
    <x v="7"/>
    <x v="1"/>
    <n v="171"/>
    <n v="21"/>
    <x v="239"/>
  </r>
  <r>
    <x v="4"/>
    <x v="4"/>
    <x v="0"/>
    <x v="0"/>
    <n v="111"/>
    <n v="88"/>
    <x v="104"/>
  </r>
  <r>
    <x v="4"/>
    <x v="4"/>
    <x v="0"/>
    <x v="1"/>
    <n v="147"/>
    <n v="41"/>
    <x v="18"/>
  </r>
  <r>
    <x v="4"/>
    <x v="4"/>
    <x v="1"/>
    <x v="0"/>
    <n v="129"/>
    <n v="66"/>
    <x v="230"/>
  </r>
  <r>
    <x v="4"/>
    <x v="4"/>
    <x v="1"/>
    <x v="1"/>
    <n v="234"/>
    <n v="28"/>
    <x v="165"/>
  </r>
  <r>
    <x v="4"/>
    <x v="4"/>
    <x v="2"/>
    <x v="0"/>
    <n v="231"/>
    <n v="105"/>
    <x v="161"/>
  </r>
  <r>
    <x v="4"/>
    <x v="4"/>
    <x v="2"/>
    <x v="1"/>
    <n v="186"/>
    <n v="98"/>
    <x v="238"/>
  </r>
  <r>
    <x v="4"/>
    <x v="4"/>
    <x v="3"/>
    <x v="0"/>
    <n v="136"/>
    <n v="97"/>
    <x v="136"/>
  </r>
  <r>
    <x v="4"/>
    <x v="4"/>
    <x v="3"/>
    <x v="1"/>
    <n v="166"/>
    <n v="15"/>
    <x v="228"/>
  </r>
  <r>
    <x v="4"/>
    <x v="4"/>
    <x v="4"/>
    <x v="0"/>
    <n v="96"/>
    <n v="100"/>
    <x v="44"/>
  </r>
  <r>
    <x v="4"/>
    <x v="4"/>
    <x v="4"/>
    <x v="1"/>
    <n v="183"/>
    <n v="16"/>
    <x v="104"/>
  </r>
  <r>
    <x v="4"/>
    <x v="4"/>
    <x v="5"/>
    <x v="0"/>
    <n v="74"/>
    <n v="20"/>
    <x v="12"/>
  </r>
  <r>
    <x v="4"/>
    <x v="4"/>
    <x v="5"/>
    <x v="1"/>
    <n v="247"/>
    <n v="92"/>
    <x v="240"/>
  </r>
  <r>
    <x v="4"/>
    <x v="4"/>
    <x v="6"/>
    <x v="0"/>
    <n v="258"/>
    <n v="20"/>
    <x v="94"/>
  </r>
  <r>
    <x v="4"/>
    <x v="4"/>
    <x v="6"/>
    <x v="1"/>
    <n v="210"/>
    <n v="74"/>
    <x v="238"/>
  </r>
  <r>
    <x v="4"/>
    <x v="4"/>
    <x v="7"/>
    <x v="0"/>
    <n v="108"/>
    <n v="53"/>
    <x v="26"/>
  </r>
  <r>
    <x v="4"/>
    <x v="4"/>
    <x v="7"/>
    <x v="1"/>
    <n v="190"/>
    <n v="31"/>
    <x v="30"/>
  </r>
  <r>
    <x v="4"/>
    <x v="5"/>
    <x v="0"/>
    <x v="0"/>
    <n v="179"/>
    <n v="14"/>
    <x v="128"/>
  </r>
  <r>
    <x v="4"/>
    <x v="5"/>
    <x v="0"/>
    <x v="1"/>
    <n v="128"/>
    <n v="59"/>
    <x v="179"/>
  </r>
  <r>
    <x v="4"/>
    <x v="5"/>
    <x v="1"/>
    <x v="0"/>
    <n v="70"/>
    <n v="40"/>
    <x v="218"/>
  </r>
  <r>
    <x v="4"/>
    <x v="5"/>
    <x v="1"/>
    <x v="1"/>
    <n v="50"/>
    <n v="91"/>
    <x v="31"/>
  </r>
  <r>
    <x v="4"/>
    <x v="5"/>
    <x v="2"/>
    <x v="0"/>
    <n v="56"/>
    <n v="20"/>
    <x v="222"/>
  </r>
  <r>
    <x v="4"/>
    <x v="5"/>
    <x v="2"/>
    <x v="1"/>
    <n v="115"/>
    <n v="12"/>
    <x v="241"/>
  </r>
  <r>
    <x v="4"/>
    <x v="5"/>
    <x v="3"/>
    <x v="0"/>
    <n v="140"/>
    <n v="96"/>
    <x v="173"/>
  </r>
  <r>
    <x v="4"/>
    <x v="5"/>
    <x v="3"/>
    <x v="1"/>
    <n v="57"/>
    <n v="88"/>
    <x v="17"/>
  </r>
  <r>
    <x v="4"/>
    <x v="5"/>
    <x v="4"/>
    <x v="0"/>
    <n v="166"/>
    <n v="102"/>
    <x v="214"/>
  </r>
  <r>
    <x v="4"/>
    <x v="5"/>
    <x v="4"/>
    <x v="1"/>
    <n v="156"/>
    <n v="40"/>
    <x v="44"/>
  </r>
  <r>
    <x v="4"/>
    <x v="5"/>
    <x v="5"/>
    <x v="0"/>
    <n v="180"/>
    <n v="61"/>
    <x v="220"/>
  </r>
  <r>
    <x v="4"/>
    <x v="5"/>
    <x v="5"/>
    <x v="1"/>
    <n v="185"/>
    <n v="104"/>
    <x v="41"/>
  </r>
  <r>
    <x v="4"/>
    <x v="5"/>
    <x v="6"/>
    <x v="0"/>
    <n v="43"/>
    <n v="106"/>
    <x v="213"/>
  </r>
  <r>
    <x v="4"/>
    <x v="5"/>
    <x v="6"/>
    <x v="1"/>
    <n v="181"/>
    <n v="55"/>
    <x v="173"/>
  </r>
  <r>
    <x v="4"/>
    <x v="5"/>
    <x v="7"/>
    <x v="0"/>
    <n v="182"/>
    <n v="88"/>
    <x v="215"/>
  </r>
  <r>
    <x v="4"/>
    <x v="5"/>
    <x v="7"/>
    <x v="1"/>
    <n v="183"/>
    <n v="34"/>
    <x v="19"/>
  </r>
  <r>
    <x v="4"/>
    <x v="6"/>
    <x v="0"/>
    <x v="0"/>
    <n v="163"/>
    <n v="69"/>
    <x v="242"/>
  </r>
  <r>
    <x v="4"/>
    <x v="6"/>
    <x v="0"/>
    <x v="1"/>
    <n v="207"/>
    <n v="33"/>
    <x v="35"/>
  </r>
  <r>
    <x v="4"/>
    <x v="6"/>
    <x v="1"/>
    <x v="0"/>
    <n v="179"/>
    <n v="110"/>
    <x v="41"/>
  </r>
  <r>
    <x v="4"/>
    <x v="6"/>
    <x v="1"/>
    <x v="1"/>
    <n v="179"/>
    <n v="88"/>
    <x v="204"/>
  </r>
  <r>
    <x v="4"/>
    <x v="6"/>
    <x v="2"/>
    <x v="0"/>
    <n v="45"/>
    <n v="78"/>
    <x v="0"/>
  </r>
  <r>
    <x v="4"/>
    <x v="6"/>
    <x v="2"/>
    <x v="1"/>
    <n v="125"/>
    <n v="28"/>
    <x v="199"/>
  </r>
  <r>
    <x v="4"/>
    <x v="6"/>
    <x v="3"/>
    <x v="0"/>
    <n v="99"/>
    <n v="54"/>
    <x v="199"/>
  </r>
  <r>
    <x v="4"/>
    <x v="6"/>
    <x v="3"/>
    <x v="1"/>
    <n v="83"/>
    <n v="81"/>
    <x v="101"/>
  </r>
  <r>
    <x v="4"/>
    <x v="6"/>
    <x v="4"/>
    <x v="0"/>
    <n v="93"/>
    <n v="13"/>
    <x v="243"/>
  </r>
  <r>
    <x v="4"/>
    <x v="6"/>
    <x v="4"/>
    <x v="1"/>
    <n v="117"/>
    <n v="100"/>
    <x v="19"/>
  </r>
  <r>
    <x v="4"/>
    <x v="6"/>
    <x v="5"/>
    <x v="0"/>
    <n v="126"/>
    <n v="108"/>
    <x v="45"/>
  </r>
  <r>
    <x v="4"/>
    <x v="6"/>
    <x v="5"/>
    <x v="1"/>
    <n v="126"/>
    <n v="80"/>
    <x v="119"/>
  </r>
  <r>
    <x v="4"/>
    <x v="6"/>
    <x v="6"/>
    <x v="0"/>
    <n v="198"/>
    <n v="43"/>
    <x v="220"/>
  </r>
  <r>
    <x v="4"/>
    <x v="6"/>
    <x v="6"/>
    <x v="1"/>
    <n v="208"/>
    <n v="59"/>
    <x v="204"/>
  </r>
  <r>
    <x v="4"/>
    <x v="6"/>
    <x v="7"/>
    <x v="0"/>
    <n v="93"/>
    <n v="58"/>
    <x v="109"/>
  </r>
  <r>
    <x v="4"/>
    <x v="6"/>
    <x v="7"/>
    <x v="1"/>
    <n v="69"/>
    <n v="106"/>
    <x v="99"/>
  </r>
  <r>
    <x v="4"/>
    <x v="7"/>
    <x v="0"/>
    <x v="0"/>
    <n v="213"/>
    <n v="37"/>
    <x v="69"/>
  </r>
  <r>
    <x v="4"/>
    <x v="7"/>
    <x v="0"/>
    <x v="1"/>
    <n v="86"/>
    <n v="74"/>
    <x v="23"/>
  </r>
  <r>
    <x v="4"/>
    <x v="7"/>
    <x v="1"/>
    <x v="0"/>
    <n v="113"/>
    <n v="105"/>
    <x v="55"/>
  </r>
  <r>
    <x v="4"/>
    <x v="7"/>
    <x v="1"/>
    <x v="1"/>
    <n v="144"/>
    <n v="99"/>
    <x v="37"/>
  </r>
  <r>
    <x v="4"/>
    <x v="7"/>
    <x v="2"/>
    <x v="0"/>
    <n v="89"/>
    <n v="94"/>
    <x v="60"/>
  </r>
  <r>
    <x v="4"/>
    <x v="7"/>
    <x v="2"/>
    <x v="1"/>
    <n v="122"/>
    <n v="76"/>
    <x v="72"/>
  </r>
  <r>
    <x v="4"/>
    <x v="7"/>
    <x v="3"/>
    <x v="0"/>
    <n v="184"/>
    <n v="18"/>
    <x v="169"/>
  </r>
  <r>
    <x v="4"/>
    <x v="7"/>
    <x v="3"/>
    <x v="1"/>
    <n v="151"/>
    <n v="32"/>
    <x v="60"/>
  </r>
  <r>
    <x v="4"/>
    <x v="7"/>
    <x v="4"/>
    <x v="0"/>
    <n v="125"/>
    <n v="63"/>
    <x v="18"/>
  </r>
  <r>
    <x v="4"/>
    <x v="7"/>
    <x v="4"/>
    <x v="1"/>
    <n v="75"/>
    <n v="106"/>
    <x v="228"/>
  </r>
  <r>
    <x v="4"/>
    <x v="7"/>
    <x v="5"/>
    <x v="0"/>
    <n v="248"/>
    <n v="101"/>
    <x v="216"/>
  </r>
  <r>
    <x v="4"/>
    <x v="7"/>
    <x v="5"/>
    <x v="1"/>
    <n v="86"/>
    <n v="34"/>
    <x v="118"/>
  </r>
  <r>
    <x v="4"/>
    <x v="7"/>
    <x v="6"/>
    <x v="0"/>
    <n v="93"/>
    <n v="20"/>
    <x v="184"/>
  </r>
  <r>
    <x v="4"/>
    <x v="7"/>
    <x v="6"/>
    <x v="1"/>
    <n v="139"/>
    <n v="48"/>
    <x v="179"/>
  </r>
  <r>
    <x v="4"/>
    <x v="7"/>
    <x v="7"/>
    <x v="0"/>
    <n v="181"/>
    <n v="14"/>
    <x v="230"/>
  </r>
  <r>
    <x v="4"/>
    <x v="7"/>
    <x v="7"/>
    <x v="1"/>
    <n v="119"/>
    <n v="30"/>
    <x v="2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BC2D3-1853-4431-85CA-B59225F9208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25" firstHeaderRow="0" firstDataRow="1" firstDataCol="1"/>
  <pivotFields count="5">
    <pivotField axis="axisRow" showAll="0">
      <items count="6">
        <item x="3"/>
        <item x="4"/>
        <item x="0"/>
        <item x="1"/>
        <item x="2"/>
        <item t="default"/>
      </items>
    </pivotField>
    <pivotField axis="axisRow" showAll="0">
      <items count="9">
        <item x="3"/>
        <item x="5"/>
        <item x="4"/>
        <item x="1"/>
        <item x="7"/>
        <item x="6"/>
        <item x="2"/>
        <item x="0"/>
        <item t="default"/>
      </items>
    </pivotField>
    <pivotField dataField="1" showAll="0">
      <items count="7">
        <item x="0"/>
        <item x="2"/>
        <item x="3"/>
        <item x="1"/>
        <item x="5"/>
        <item x="4"/>
        <item t="default"/>
      </items>
    </pivotField>
    <pivotField dataField="1" showAll="0"/>
    <pivotField dataField="1" showAll="0"/>
  </pivotFields>
  <rowFields count="2">
    <field x="0"/>
    <field x="1"/>
  </rowFields>
  <rowItems count="24">
    <i>
      <x/>
    </i>
    <i r="1">
      <x v="3"/>
    </i>
    <i r="1">
      <x v="4"/>
    </i>
    <i r="1">
      <x v="5"/>
    </i>
    <i>
      <x v="1"/>
    </i>
    <i r="1">
      <x/>
    </i>
    <i r="1">
      <x v="2"/>
    </i>
    <i r="1">
      <x v="3"/>
    </i>
    <i r="1">
      <x v="6"/>
    </i>
    <i>
      <x v="2"/>
    </i>
    <i r="1">
      <x/>
    </i>
    <i r="1">
      <x v="2"/>
    </i>
    <i r="1">
      <x v="3"/>
    </i>
    <i r="1">
      <x v="7"/>
    </i>
    <i>
      <x v="3"/>
    </i>
    <i r="1">
      <x/>
    </i>
    <i r="1">
      <x v="1"/>
    </i>
    <i r="1">
      <x v="6"/>
    </i>
    <i>
      <x v="4"/>
    </i>
    <i r="1">
      <x v="1"/>
    </i>
    <i r="1">
      <x v="2"/>
    </i>
    <i r="1">
      <x v="4"/>
    </i>
    <i r="1">
      <x v="5"/>
    </i>
    <i t="grand">
      <x/>
    </i>
  </rowItems>
  <colFields count="1">
    <field x="-2"/>
  </colFields>
  <colItems count="3">
    <i>
      <x/>
    </i>
    <i i="1">
      <x v="1"/>
    </i>
    <i i="2">
      <x v="2"/>
    </i>
  </colItems>
  <dataFields count="3">
    <dataField name="Count of Type" fld="2" subtotal="count" baseField="0" baseItem="0"/>
    <dataField name="Sum of Quantity" fld="3" baseField="0" baseItem="0"/>
    <dataField name="Sum of Price" fld="4" baseField="0" baseItem="0"/>
  </dataFields>
  <chartFormats count="6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3">
          <reference field="4294967294" count="1" selected="0">
            <x v="0"/>
          </reference>
          <reference field="0" count="1" selected="0">
            <x v="0"/>
          </reference>
          <reference field="1" count="1" selected="0">
            <x v="3"/>
          </reference>
        </references>
      </pivotArea>
    </chartFormat>
    <chartFormat chart="16" format="5">
      <pivotArea type="data" outline="0" fieldPosition="0">
        <references count="3">
          <reference field="4294967294" count="1" selected="0">
            <x v="0"/>
          </reference>
          <reference field="0" count="1" selected="0">
            <x v="0"/>
          </reference>
          <reference field="1" count="1" selected="0">
            <x v="4"/>
          </reference>
        </references>
      </pivotArea>
    </chartFormat>
    <chartFormat chart="16" format="6">
      <pivotArea type="data" outline="0" fieldPosition="0">
        <references count="3">
          <reference field="4294967294" count="1" selected="0">
            <x v="0"/>
          </reference>
          <reference field="0" count="1" selected="0">
            <x v="0"/>
          </reference>
          <reference field="1" count="1" selected="0">
            <x v="5"/>
          </reference>
        </references>
      </pivotArea>
    </chartFormat>
    <chartFormat chart="16" format="7">
      <pivotArea type="data" outline="0" fieldPosition="0">
        <references count="3">
          <reference field="4294967294" count="1" selected="0">
            <x v="0"/>
          </reference>
          <reference field="0" count="1" selected="0">
            <x v="1"/>
          </reference>
          <reference field="1" count="1" selected="0">
            <x v="0"/>
          </reference>
        </references>
      </pivotArea>
    </chartFormat>
    <chartFormat chart="16" format="8">
      <pivotArea type="data" outline="0" fieldPosition="0">
        <references count="3">
          <reference field="4294967294" count="1" selected="0">
            <x v="0"/>
          </reference>
          <reference field="0" count="1" selected="0">
            <x v="1"/>
          </reference>
          <reference field="1" count="1" selected="0">
            <x v="2"/>
          </reference>
        </references>
      </pivotArea>
    </chartFormat>
    <chartFormat chart="16" format="9">
      <pivotArea type="data" outline="0" fieldPosition="0">
        <references count="3">
          <reference field="4294967294" count="1" selected="0">
            <x v="0"/>
          </reference>
          <reference field="0" count="1" selected="0">
            <x v="1"/>
          </reference>
          <reference field="1" count="1" selected="0">
            <x v="3"/>
          </reference>
        </references>
      </pivotArea>
    </chartFormat>
    <chartFormat chart="16" format="10">
      <pivotArea type="data" outline="0" fieldPosition="0">
        <references count="3">
          <reference field="4294967294" count="1" selected="0">
            <x v="0"/>
          </reference>
          <reference field="0" count="1" selected="0">
            <x v="1"/>
          </reference>
          <reference field="1" count="1" selected="0">
            <x v="6"/>
          </reference>
        </references>
      </pivotArea>
    </chartFormat>
    <chartFormat chart="16" format="11">
      <pivotArea type="data" outline="0" fieldPosition="0">
        <references count="3">
          <reference field="4294967294" count="1" selected="0">
            <x v="0"/>
          </reference>
          <reference field="0" count="1" selected="0">
            <x v="2"/>
          </reference>
          <reference field="1" count="1" selected="0">
            <x v="0"/>
          </reference>
        </references>
      </pivotArea>
    </chartFormat>
    <chartFormat chart="16" format="12">
      <pivotArea type="data" outline="0" fieldPosition="0">
        <references count="3">
          <reference field="4294967294" count="1" selected="0">
            <x v="0"/>
          </reference>
          <reference field="0" count="1" selected="0">
            <x v="2"/>
          </reference>
          <reference field="1" count="1" selected="0">
            <x v="2"/>
          </reference>
        </references>
      </pivotArea>
    </chartFormat>
    <chartFormat chart="16" format="13">
      <pivotArea type="data" outline="0" fieldPosition="0">
        <references count="3">
          <reference field="4294967294" count="1" selected="0">
            <x v="0"/>
          </reference>
          <reference field="0" count="1" selected="0">
            <x v="2"/>
          </reference>
          <reference field="1" count="1" selected="0">
            <x v="3"/>
          </reference>
        </references>
      </pivotArea>
    </chartFormat>
    <chartFormat chart="16" format="14">
      <pivotArea type="data" outline="0" fieldPosition="0">
        <references count="3">
          <reference field="4294967294" count="1" selected="0">
            <x v="0"/>
          </reference>
          <reference field="0" count="1" selected="0">
            <x v="2"/>
          </reference>
          <reference field="1" count="1" selected="0">
            <x v="7"/>
          </reference>
        </references>
      </pivotArea>
    </chartFormat>
    <chartFormat chart="16" format="15">
      <pivotArea type="data" outline="0" fieldPosition="0">
        <references count="3">
          <reference field="4294967294" count="1" selected="0">
            <x v="0"/>
          </reference>
          <reference field="0" count="1" selected="0">
            <x v="3"/>
          </reference>
          <reference field="1" count="1" selected="0">
            <x v="0"/>
          </reference>
        </references>
      </pivotArea>
    </chartFormat>
    <chartFormat chart="16" format="16">
      <pivotArea type="data" outline="0" fieldPosition="0">
        <references count="3">
          <reference field="4294967294" count="1" selected="0">
            <x v="0"/>
          </reference>
          <reference field="0" count="1" selected="0">
            <x v="3"/>
          </reference>
          <reference field="1" count="1" selected="0">
            <x v="1"/>
          </reference>
        </references>
      </pivotArea>
    </chartFormat>
    <chartFormat chart="16" format="17">
      <pivotArea type="data" outline="0" fieldPosition="0">
        <references count="3">
          <reference field="4294967294" count="1" selected="0">
            <x v="0"/>
          </reference>
          <reference field="0" count="1" selected="0">
            <x v="3"/>
          </reference>
          <reference field="1" count="1" selected="0">
            <x v="6"/>
          </reference>
        </references>
      </pivotArea>
    </chartFormat>
    <chartFormat chart="16" format="18">
      <pivotArea type="data" outline="0" fieldPosition="0">
        <references count="3">
          <reference field="4294967294" count="1" selected="0">
            <x v="0"/>
          </reference>
          <reference field="0" count="1" selected="0">
            <x v="4"/>
          </reference>
          <reference field="1" count="1" selected="0">
            <x v="1"/>
          </reference>
        </references>
      </pivotArea>
    </chartFormat>
    <chartFormat chart="16" format="19">
      <pivotArea type="data" outline="0" fieldPosition="0">
        <references count="3">
          <reference field="4294967294" count="1" selected="0">
            <x v="0"/>
          </reference>
          <reference field="0" count="1" selected="0">
            <x v="4"/>
          </reference>
          <reference field="1" count="1" selected="0">
            <x v="2"/>
          </reference>
        </references>
      </pivotArea>
    </chartFormat>
    <chartFormat chart="16" format="20">
      <pivotArea type="data" outline="0" fieldPosition="0">
        <references count="3">
          <reference field="4294967294" count="1" selected="0">
            <x v="0"/>
          </reference>
          <reference field="0" count="1" selected="0">
            <x v="4"/>
          </reference>
          <reference field="1" count="1" selected="0">
            <x v="4"/>
          </reference>
        </references>
      </pivotArea>
    </chartFormat>
    <chartFormat chart="16" format="21">
      <pivotArea type="data" outline="0" fieldPosition="0">
        <references count="3">
          <reference field="4294967294" count="1" selected="0">
            <x v="0"/>
          </reference>
          <reference field="0" count="1" selected="0">
            <x v="4"/>
          </reference>
          <reference field="1" count="1" selected="0">
            <x v="5"/>
          </reference>
        </references>
      </pivotArea>
    </chartFormat>
    <chartFormat chart="16" format="22" series="1">
      <pivotArea type="data" outline="0" fieldPosition="0">
        <references count="1">
          <reference field="4294967294" count="1" selected="0">
            <x v="1"/>
          </reference>
        </references>
      </pivotArea>
    </chartFormat>
    <chartFormat chart="16" format="23">
      <pivotArea type="data" outline="0" fieldPosition="0">
        <references count="3">
          <reference field="4294967294" count="1" selected="0">
            <x v="1"/>
          </reference>
          <reference field="0" count="1" selected="0">
            <x v="0"/>
          </reference>
          <reference field="1" count="1" selected="0">
            <x v="3"/>
          </reference>
        </references>
      </pivotArea>
    </chartFormat>
    <chartFormat chart="16" format="24">
      <pivotArea type="data" outline="0" fieldPosition="0">
        <references count="3">
          <reference field="4294967294" count="1" selected="0">
            <x v="1"/>
          </reference>
          <reference field="0" count="1" selected="0">
            <x v="0"/>
          </reference>
          <reference field="1" count="1" selected="0">
            <x v="4"/>
          </reference>
        </references>
      </pivotArea>
    </chartFormat>
    <chartFormat chart="16" format="25">
      <pivotArea type="data" outline="0" fieldPosition="0">
        <references count="3">
          <reference field="4294967294" count="1" selected="0">
            <x v="1"/>
          </reference>
          <reference field="0" count="1" selected="0">
            <x v="0"/>
          </reference>
          <reference field="1" count="1" selected="0">
            <x v="5"/>
          </reference>
        </references>
      </pivotArea>
    </chartFormat>
    <chartFormat chart="16" format="26">
      <pivotArea type="data" outline="0" fieldPosition="0">
        <references count="3">
          <reference field="4294967294" count="1" selected="0">
            <x v="1"/>
          </reference>
          <reference field="0" count="1" selected="0">
            <x v="1"/>
          </reference>
          <reference field="1" count="1" selected="0">
            <x v="0"/>
          </reference>
        </references>
      </pivotArea>
    </chartFormat>
    <chartFormat chart="16" format="27">
      <pivotArea type="data" outline="0" fieldPosition="0">
        <references count="3">
          <reference field="4294967294" count="1" selected="0">
            <x v="1"/>
          </reference>
          <reference field="0" count="1" selected="0">
            <x v="1"/>
          </reference>
          <reference field="1" count="1" selected="0">
            <x v="2"/>
          </reference>
        </references>
      </pivotArea>
    </chartFormat>
    <chartFormat chart="16" format="28">
      <pivotArea type="data" outline="0" fieldPosition="0">
        <references count="3">
          <reference field="4294967294" count="1" selected="0">
            <x v="1"/>
          </reference>
          <reference field="0" count="1" selected="0">
            <x v="1"/>
          </reference>
          <reference field="1" count="1" selected="0">
            <x v="3"/>
          </reference>
        </references>
      </pivotArea>
    </chartFormat>
    <chartFormat chart="16" format="29">
      <pivotArea type="data" outline="0" fieldPosition="0">
        <references count="3">
          <reference field="4294967294" count="1" selected="0">
            <x v="1"/>
          </reference>
          <reference field="0" count="1" selected="0">
            <x v="1"/>
          </reference>
          <reference field="1" count="1" selected="0">
            <x v="6"/>
          </reference>
        </references>
      </pivotArea>
    </chartFormat>
    <chartFormat chart="16" format="30">
      <pivotArea type="data" outline="0" fieldPosition="0">
        <references count="3">
          <reference field="4294967294" count="1" selected="0">
            <x v="1"/>
          </reference>
          <reference field="0" count="1" selected="0">
            <x v="2"/>
          </reference>
          <reference field="1" count="1" selected="0">
            <x v="0"/>
          </reference>
        </references>
      </pivotArea>
    </chartFormat>
    <chartFormat chart="16" format="31">
      <pivotArea type="data" outline="0" fieldPosition="0">
        <references count="3">
          <reference field="4294967294" count="1" selected="0">
            <x v="1"/>
          </reference>
          <reference field="0" count="1" selected="0">
            <x v="2"/>
          </reference>
          <reference field="1" count="1" selected="0">
            <x v="2"/>
          </reference>
        </references>
      </pivotArea>
    </chartFormat>
    <chartFormat chart="16" format="32">
      <pivotArea type="data" outline="0" fieldPosition="0">
        <references count="3">
          <reference field="4294967294" count="1" selected="0">
            <x v="1"/>
          </reference>
          <reference field="0" count="1" selected="0">
            <x v="2"/>
          </reference>
          <reference field="1" count="1" selected="0">
            <x v="3"/>
          </reference>
        </references>
      </pivotArea>
    </chartFormat>
    <chartFormat chart="16" format="33">
      <pivotArea type="data" outline="0" fieldPosition="0">
        <references count="3">
          <reference field="4294967294" count="1" selected="0">
            <x v="1"/>
          </reference>
          <reference field="0" count="1" selected="0">
            <x v="2"/>
          </reference>
          <reference field="1" count="1" selected="0">
            <x v="7"/>
          </reference>
        </references>
      </pivotArea>
    </chartFormat>
    <chartFormat chart="16" format="34">
      <pivotArea type="data" outline="0" fieldPosition="0">
        <references count="3">
          <reference field="4294967294" count="1" selected="0">
            <x v="1"/>
          </reference>
          <reference field="0" count="1" selected="0">
            <x v="3"/>
          </reference>
          <reference field="1" count="1" selected="0">
            <x v="0"/>
          </reference>
        </references>
      </pivotArea>
    </chartFormat>
    <chartFormat chart="16" format="35">
      <pivotArea type="data" outline="0" fieldPosition="0">
        <references count="3">
          <reference field="4294967294" count="1" selected="0">
            <x v="1"/>
          </reference>
          <reference field="0" count="1" selected="0">
            <x v="3"/>
          </reference>
          <reference field="1" count="1" selected="0">
            <x v="1"/>
          </reference>
        </references>
      </pivotArea>
    </chartFormat>
    <chartFormat chart="16" format="36">
      <pivotArea type="data" outline="0" fieldPosition="0">
        <references count="3">
          <reference field="4294967294" count="1" selected="0">
            <x v="1"/>
          </reference>
          <reference field="0" count="1" selected="0">
            <x v="3"/>
          </reference>
          <reference field="1" count="1" selected="0">
            <x v="6"/>
          </reference>
        </references>
      </pivotArea>
    </chartFormat>
    <chartFormat chart="16" format="37">
      <pivotArea type="data" outline="0" fieldPosition="0">
        <references count="3">
          <reference field="4294967294" count="1" selected="0">
            <x v="1"/>
          </reference>
          <reference field="0" count="1" selected="0">
            <x v="4"/>
          </reference>
          <reference field="1" count="1" selected="0">
            <x v="1"/>
          </reference>
        </references>
      </pivotArea>
    </chartFormat>
    <chartFormat chart="16" format="38">
      <pivotArea type="data" outline="0" fieldPosition="0">
        <references count="3">
          <reference field="4294967294" count="1" selected="0">
            <x v="1"/>
          </reference>
          <reference field="0" count="1" selected="0">
            <x v="4"/>
          </reference>
          <reference field="1" count="1" selected="0">
            <x v="2"/>
          </reference>
        </references>
      </pivotArea>
    </chartFormat>
    <chartFormat chart="16" format="39">
      <pivotArea type="data" outline="0" fieldPosition="0">
        <references count="3">
          <reference field="4294967294" count="1" selected="0">
            <x v="1"/>
          </reference>
          <reference field="0" count="1" selected="0">
            <x v="4"/>
          </reference>
          <reference field="1" count="1" selected="0">
            <x v="4"/>
          </reference>
        </references>
      </pivotArea>
    </chartFormat>
    <chartFormat chart="16" format="40">
      <pivotArea type="data" outline="0" fieldPosition="0">
        <references count="3">
          <reference field="4294967294" count="1" selected="0">
            <x v="1"/>
          </reference>
          <reference field="0" count="1" selected="0">
            <x v="4"/>
          </reference>
          <reference field="1" count="1" selected="0">
            <x v="5"/>
          </reference>
        </references>
      </pivotArea>
    </chartFormat>
    <chartFormat chart="16" format="41" series="1">
      <pivotArea type="data" outline="0" fieldPosition="0">
        <references count="1">
          <reference field="4294967294" count="1" selected="0">
            <x v="2"/>
          </reference>
        </references>
      </pivotArea>
    </chartFormat>
    <chartFormat chart="16" format="42">
      <pivotArea type="data" outline="0" fieldPosition="0">
        <references count="3">
          <reference field="4294967294" count="1" selected="0">
            <x v="2"/>
          </reference>
          <reference field="0" count="1" selected="0">
            <x v="0"/>
          </reference>
          <reference field="1" count="1" selected="0">
            <x v="3"/>
          </reference>
        </references>
      </pivotArea>
    </chartFormat>
    <chartFormat chart="16" format="43">
      <pivotArea type="data" outline="0" fieldPosition="0">
        <references count="3">
          <reference field="4294967294" count="1" selected="0">
            <x v="2"/>
          </reference>
          <reference field="0" count="1" selected="0">
            <x v="0"/>
          </reference>
          <reference field="1" count="1" selected="0">
            <x v="4"/>
          </reference>
        </references>
      </pivotArea>
    </chartFormat>
    <chartFormat chart="16" format="44">
      <pivotArea type="data" outline="0" fieldPosition="0">
        <references count="3">
          <reference field="4294967294" count="1" selected="0">
            <x v="2"/>
          </reference>
          <reference field="0" count="1" selected="0">
            <x v="0"/>
          </reference>
          <reference field="1" count="1" selected="0">
            <x v="5"/>
          </reference>
        </references>
      </pivotArea>
    </chartFormat>
    <chartFormat chart="16" format="45">
      <pivotArea type="data" outline="0" fieldPosition="0">
        <references count="3">
          <reference field="4294967294" count="1" selected="0">
            <x v="2"/>
          </reference>
          <reference field="0" count="1" selected="0">
            <x v="1"/>
          </reference>
          <reference field="1" count="1" selected="0">
            <x v="0"/>
          </reference>
        </references>
      </pivotArea>
    </chartFormat>
    <chartFormat chart="16" format="46">
      <pivotArea type="data" outline="0" fieldPosition="0">
        <references count="3">
          <reference field="4294967294" count="1" selected="0">
            <x v="2"/>
          </reference>
          <reference field="0" count="1" selected="0">
            <x v="1"/>
          </reference>
          <reference field="1" count="1" selected="0">
            <x v="2"/>
          </reference>
        </references>
      </pivotArea>
    </chartFormat>
    <chartFormat chart="16" format="47">
      <pivotArea type="data" outline="0" fieldPosition="0">
        <references count="3">
          <reference field="4294967294" count="1" selected="0">
            <x v="2"/>
          </reference>
          <reference field="0" count="1" selected="0">
            <x v="1"/>
          </reference>
          <reference field="1" count="1" selected="0">
            <x v="3"/>
          </reference>
        </references>
      </pivotArea>
    </chartFormat>
    <chartFormat chart="16" format="48">
      <pivotArea type="data" outline="0" fieldPosition="0">
        <references count="3">
          <reference field="4294967294" count="1" selected="0">
            <x v="2"/>
          </reference>
          <reference field="0" count="1" selected="0">
            <x v="1"/>
          </reference>
          <reference field="1" count="1" selected="0">
            <x v="6"/>
          </reference>
        </references>
      </pivotArea>
    </chartFormat>
    <chartFormat chart="16" format="49">
      <pivotArea type="data" outline="0" fieldPosition="0">
        <references count="3">
          <reference field="4294967294" count="1" selected="0">
            <x v="2"/>
          </reference>
          <reference field="0" count="1" selected="0">
            <x v="2"/>
          </reference>
          <reference field="1" count="1" selected="0">
            <x v="0"/>
          </reference>
        </references>
      </pivotArea>
    </chartFormat>
    <chartFormat chart="16" format="50">
      <pivotArea type="data" outline="0" fieldPosition="0">
        <references count="3">
          <reference field="4294967294" count="1" selected="0">
            <x v="2"/>
          </reference>
          <reference field="0" count="1" selected="0">
            <x v="2"/>
          </reference>
          <reference field="1" count="1" selected="0">
            <x v="2"/>
          </reference>
        </references>
      </pivotArea>
    </chartFormat>
    <chartFormat chart="16" format="51">
      <pivotArea type="data" outline="0" fieldPosition="0">
        <references count="3">
          <reference field="4294967294" count="1" selected="0">
            <x v="2"/>
          </reference>
          <reference field="0" count="1" selected="0">
            <x v="2"/>
          </reference>
          <reference field="1" count="1" selected="0">
            <x v="3"/>
          </reference>
        </references>
      </pivotArea>
    </chartFormat>
    <chartFormat chart="16" format="52">
      <pivotArea type="data" outline="0" fieldPosition="0">
        <references count="3">
          <reference field="4294967294" count="1" selected="0">
            <x v="2"/>
          </reference>
          <reference field="0" count="1" selected="0">
            <x v="2"/>
          </reference>
          <reference field="1" count="1" selected="0">
            <x v="7"/>
          </reference>
        </references>
      </pivotArea>
    </chartFormat>
    <chartFormat chart="16" format="53">
      <pivotArea type="data" outline="0" fieldPosition="0">
        <references count="3">
          <reference field="4294967294" count="1" selected="0">
            <x v="2"/>
          </reference>
          <reference field="0" count="1" selected="0">
            <x v="3"/>
          </reference>
          <reference field="1" count="1" selected="0">
            <x v="0"/>
          </reference>
        </references>
      </pivotArea>
    </chartFormat>
    <chartFormat chart="16" format="54">
      <pivotArea type="data" outline="0" fieldPosition="0">
        <references count="3">
          <reference field="4294967294" count="1" selected="0">
            <x v="2"/>
          </reference>
          <reference field="0" count="1" selected="0">
            <x v="3"/>
          </reference>
          <reference field="1" count="1" selected="0">
            <x v="1"/>
          </reference>
        </references>
      </pivotArea>
    </chartFormat>
    <chartFormat chart="16" format="55">
      <pivotArea type="data" outline="0" fieldPosition="0">
        <references count="3">
          <reference field="4294967294" count="1" selected="0">
            <x v="2"/>
          </reference>
          <reference field="0" count="1" selected="0">
            <x v="3"/>
          </reference>
          <reference field="1" count="1" selected="0">
            <x v="6"/>
          </reference>
        </references>
      </pivotArea>
    </chartFormat>
    <chartFormat chart="16" format="56">
      <pivotArea type="data" outline="0" fieldPosition="0">
        <references count="3">
          <reference field="4294967294" count="1" selected="0">
            <x v="2"/>
          </reference>
          <reference field="0" count="1" selected="0">
            <x v="4"/>
          </reference>
          <reference field="1" count="1" selected="0">
            <x v="1"/>
          </reference>
        </references>
      </pivotArea>
    </chartFormat>
    <chartFormat chart="16" format="57">
      <pivotArea type="data" outline="0" fieldPosition="0">
        <references count="3">
          <reference field="4294967294" count="1" selected="0">
            <x v="2"/>
          </reference>
          <reference field="0" count="1" selected="0">
            <x v="4"/>
          </reference>
          <reference field="1" count="1" selected="0">
            <x v="2"/>
          </reference>
        </references>
      </pivotArea>
    </chartFormat>
    <chartFormat chart="16" format="58">
      <pivotArea type="data" outline="0" fieldPosition="0">
        <references count="3">
          <reference field="4294967294" count="1" selected="0">
            <x v="2"/>
          </reference>
          <reference field="0" count="1" selected="0">
            <x v="4"/>
          </reference>
          <reference field="1" count="1" selected="0">
            <x v="4"/>
          </reference>
        </references>
      </pivotArea>
    </chartFormat>
    <chartFormat chart="16" format="59">
      <pivotArea type="data" outline="0" fieldPosition="0">
        <references count="3">
          <reference field="4294967294" count="1" selected="0">
            <x v="2"/>
          </reference>
          <reference field="0" count="1" selected="0">
            <x v="4"/>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FF632B-CC4B-4AFB-8829-2C41516A564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7">
    <pivotField axis="axisRow" showAll="0">
      <items count="6">
        <item x="0"/>
        <item x="1"/>
        <item x="2"/>
        <item x="3"/>
        <item x="4"/>
        <item t="default"/>
      </items>
    </pivotField>
    <pivotField showAll="0">
      <items count="9">
        <item x="4"/>
        <item x="1"/>
        <item x="0"/>
        <item x="2"/>
        <item x="7"/>
        <item x="3"/>
        <item x="6"/>
        <item x="5"/>
        <item t="default"/>
      </items>
    </pivotField>
    <pivotField showAll="0">
      <items count="9">
        <item x="4"/>
        <item x="5"/>
        <item x="2"/>
        <item x="0"/>
        <item x="6"/>
        <item x="1"/>
        <item x="3"/>
        <item x="7"/>
        <item t="default"/>
      </items>
    </pivotField>
    <pivotField showAll="0">
      <items count="3">
        <item x="1"/>
        <item x="0"/>
        <item t="default"/>
      </items>
    </pivotField>
    <pivotField showAll="0"/>
    <pivotField showAll="0"/>
    <pivotField dataField="1" showAll="0"/>
  </pivotFields>
  <rowFields count="1">
    <field x="0"/>
  </rowFields>
  <rowItems count="6">
    <i>
      <x/>
    </i>
    <i>
      <x v="1"/>
    </i>
    <i>
      <x v="2"/>
    </i>
    <i>
      <x v="3"/>
    </i>
    <i>
      <x v="4"/>
    </i>
    <i t="grand">
      <x/>
    </i>
  </rowItems>
  <colItems count="1">
    <i/>
  </colItems>
  <dataFields count="1">
    <dataField name="Sum of Revenue (BDT Cr)"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275D4-9DE7-4D77-B14B-B66E27EC1CA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7">
    <pivotField axis="axisRow" showAll="0">
      <items count="6">
        <item x="0"/>
        <item x="1"/>
        <item x="2"/>
        <item x="3"/>
        <item x="4"/>
        <item t="default"/>
      </items>
    </pivotField>
    <pivotField showAll="0">
      <items count="9">
        <item x="4"/>
        <item x="1"/>
        <item x="0"/>
        <item x="2"/>
        <item x="7"/>
        <item x="3"/>
        <item x="6"/>
        <item x="5"/>
        <item t="default"/>
      </items>
    </pivotField>
    <pivotField showAll="0">
      <items count="9">
        <item x="4"/>
        <item x="5"/>
        <item x="2"/>
        <item x="0"/>
        <item x="6"/>
        <item x="1"/>
        <item x="3"/>
        <item x="7"/>
        <item t="default"/>
      </items>
    </pivotField>
    <pivotField showAll="0">
      <items count="3">
        <item x="1"/>
        <item x="0"/>
        <item t="default"/>
      </items>
    </pivotField>
    <pivotField dataField="1" showAll="0"/>
    <pivotField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Revenue (BDT Cr)" fld="6" baseField="0" baseItem="0"/>
    <dataField name="Sum of Cost (BDT Cr)" fld="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07130-F064-4789-B504-CF9DE42181C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7">
    <pivotField showAll="0">
      <items count="6">
        <item x="0"/>
        <item x="1"/>
        <item x="2"/>
        <item x="3"/>
        <item x="4"/>
        <item t="default"/>
      </items>
    </pivotField>
    <pivotField axis="axisRow" showAll="0" sortType="descending">
      <items count="9">
        <item x="4"/>
        <item x="1"/>
        <item x="0"/>
        <item x="2"/>
        <item x="7"/>
        <item x="3"/>
        <item x="6"/>
        <item x="5"/>
        <item t="default"/>
      </items>
      <autoSortScope>
        <pivotArea dataOnly="0" outline="0" fieldPosition="0">
          <references count="1">
            <reference field="4294967294" count="1" selected="0">
              <x v="0"/>
            </reference>
          </references>
        </pivotArea>
      </autoSortScope>
    </pivotField>
    <pivotField showAll="0">
      <items count="9">
        <item x="4"/>
        <item x="5"/>
        <item x="2"/>
        <item x="0"/>
        <item x="6"/>
        <item x="1"/>
        <item x="3"/>
        <item x="7"/>
        <item t="default"/>
      </items>
    </pivotField>
    <pivotField showAll="0">
      <items count="3">
        <item x="1"/>
        <item x="0"/>
        <item t="default"/>
      </items>
    </pivotField>
    <pivotField showAll="0"/>
    <pivotField showAll="0"/>
    <pivotField dataField="1" showAll="0">
      <items count="245">
        <item x="198"/>
        <item x="236"/>
        <item x="172"/>
        <item x="170"/>
        <item x="143"/>
        <item x="78"/>
        <item x="222"/>
        <item x="68"/>
        <item x="167"/>
        <item x="227"/>
        <item x="205"/>
        <item x="154"/>
        <item x="116"/>
        <item x="147"/>
        <item x="151"/>
        <item x="12"/>
        <item x="71"/>
        <item x="103"/>
        <item x="234"/>
        <item x="188"/>
        <item x="145"/>
        <item x="134"/>
        <item x="159"/>
        <item x="243"/>
        <item x="98"/>
        <item x="52"/>
        <item x="218"/>
        <item x="62"/>
        <item x="33"/>
        <item x="184"/>
        <item x="232"/>
        <item x="237"/>
        <item x="100"/>
        <item x="4"/>
        <item x="138"/>
        <item x="118"/>
        <item x="24"/>
        <item x="79"/>
        <item x="0"/>
        <item x="1"/>
        <item x="221"/>
        <item x="241"/>
        <item x="233"/>
        <item x="142"/>
        <item x="135"/>
        <item x="123"/>
        <item x="224"/>
        <item x="194"/>
        <item x="217"/>
        <item x="20"/>
        <item x="113"/>
        <item x="164"/>
        <item x="225"/>
        <item x="31"/>
        <item x="85"/>
        <item x="86"/>
        <item x="17"/>
        <item x="43"/>
        <item x="59"/>
        <item x="93"/>
        <item x="213"/>
        <item x="90"/>
        <item x="109"/>
        <item x="199"/>
        <item x="84"/>
        <item x="158"/>
        <item x="121"/>
        <item x="181"/>
        <item x="27"/>
        <item x="38"/>
        <item x="23"/>
        <item x="26"/>
        <item x="117"/>
        <item x="49"/>
        <item x="101"/>
        <item x="80"/>
        <item x="53"/>
        <item x="206"/>
        <item x="235"/>
        <item x="58"/>
        <item x="174"/>
        <item x="231"/>
        <item x="178"/>
        <item x="15"/>
        <item x="99"/>
        <item x="191"/>
        <item x="219"/>
        <item x="63"/>
        <item x="40"/>
        <item x="54"/>
        <item x="228"/>
        <item x="185"/>
        <item x="60"/>
        <item x="77"/>
        <item x="3"/>
        <item x="28"/>
        <item x="179"/>
        <item x="18"/>
        <item x="114"/>
        <item x="39"/>
        <item x="239"/>
        <item x="128"/>
        <item x="36"/>
        <item x="230"/>
        <item x="44"/>
        <item x="168"/>
        <item x="72"/>
        <item x="104"/>
        <item x="97"/>
        <item x="124"/>
        <item x="169"/>
        <item x="183"/>
        <item x="182"/>
        <item x="13"/>
        <item x="119"/>
        <item x="21"/>
        <item x="87"/>
        <item x="130"/>
        <item x="57"/>
        <item x="5"/>
        <item x="7"/>
        <item x="175"/>
        <item x="8"/>
        <item x="2"/>
        <item x="19"/>
        <item x="55"/>
        <item x="166"/>
        <item x="176"/>
        <item x="30"/>
        <item x="162"/>
        <item x="148"/>
        <item x="133"/>
        <item x="115"/>
        <item x="209"/>
        <item x="96"/>
        <item x="193"/>
        <item x="25"/>
        <item x="50"/>
        <item x="242"/>
        <item x="136"/>
        <item x="45"/>
        <item x="120"/>
        <item x="173"/>
        <item x="88"/>
        <item x="56"/>
        <item x="140"/>
        <item x="35"/>
        <item x="220"/>
        <item x="144"/>
        <item x="37"/>
        <item x="83"/>
        <item x="10"/>
        <item x="74"/>
        <item x="76"/>
        <item x="229"/>
        <item x="69"/>
        <item x="126"/>
        <item x="111"/>
        <item x="190"/>
        <item x="200"/>
        <item x="153"/>
        <item x="195"/>
        <item x="106"/>
        <item x="201"/>
        <item x="34"/>
        <item x="197"/>
        <item x="150"/>
        <item x="165"/>
        <item x="129"/>
        <item x="211"/>
        <item x="226"/>
        <item x="127"/>
        <item x="204"/>
        <item x="214"/>
        <item x="196"/>
        <item x="215"/>
        <item x="152"/>
        <item x="157"/>
        <item x="48"/>
        <item x="75"/>
        <item x="171"/>
        <item x="149"/>
        <item x="32"/>
        <item x="94"/>
        <item x="66"/>
        <item x="108"/>
        <item x="47"/>
        <item x="46"/>
        <item x="73"/>
        <item x="238"/>
        <item x="156"/>
        <item x="187"/>
        <item x="139"/>
        <item x="132"/>
        <item x="41"/>
        <item x="9"/>
        <item x="64"/>
        <item x="122"/>
        <item x="29"/>
        <item x="16"/>
        <item x="186"/>
        <item x="11"/>
        <item x="189"/>
        <item x="212"/>
        <item x="22"/>
        <item x="65"/>
        <item x="202"/>
        <item x="180"/>
        <item x="95"/>
        <item x="92"/>
        <item x="107"/>
        <item x="91"/>
        <item x="112"/>
        <item x="207"/>
        <item x="110"/>
        <item x="146"/>
        <item x="61"/>
        <item x="51"/>
        <item x="89"/>
        <item x="137"/>
        <item x="203"/>
        <item x="14"/>
        <item x="141"/>
        <item x="102"/>
        <item x="6"/>
        <item x="70"/>
        <item x="81"/>
        <item x="82"/>
        <item x="160"/>
        <item x="161"/>
        <item x="240"/>
        <item x="67"/>
        <item x="177"/>
        <item x="131"/>
        <item x="105"/>
        <item x="223"/>
        <item x="125"/>
        <item x="216"/>
        <item x="163"/>
        <item x="155"/>
        <item x="192"/>
        <item x="210"/>
        <item x="42"/>
        <item x="208"/>
        <item t="default"/>
      </items>
    </pivotField>
  </pivotFields>
  <rowFields count="1">
    <field x="1"/>
  </rowFields>
  <rowItems count="9">
    <i>
      <x v="6"/>
    </i>
    <i>
      <x v="5"/>
    </i>
    <i>
      <x/>
    </i>
    <i>
      <x v="1"/>
    </i>
    <i>
      <x v="4"/>
    </i>
    <i>
      <x v="2"/>
    </i>
    <i>
      <x v="3"/>
    </i>
    <i>
      <x v="7"/>
    </i>
    <i t="grand">
      <x/>
    </i>
  </rowItems>
  <colItems count="1">
    <i/>
  </colItems>
  <dataFields count="1">
    <dataField name="Sum of Revenue (BDT Cr)"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676B4-AA37-441A-BF01-C279A388A7A4}"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7">
    <pivotField showAll="0">
      <items count="6">
        <item x="0"/>
        <item x="1"/>
        <item x="2"/>
        <item x="3"/>
        <item x="4"/>
        <item t="default"/>
      </items>
    </pivotField>
    <pivotField showAll="0">
      <items count="9">
        <item x="4"/>
        <item x="1"/>
        <item x="0"/>
        <item x="2"/>
        <item x="7"/>
        <item x="3"/>
        <item x="6"/>
        <item x="5"/>
        <item t="default"/>
      </items>
    </pivotField>
    <pivotField axis="axisRow" showAll="0" sortType="descending">
      <items count="9">
        <item x="4"/>
        <item x="5"/>
        <item x="2"/>
        <item x="0"/>
        <item x="6"/>
        <item x="1"/>
        <item x="3"/>
        <item x="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dataField="1" showAll="0"/>
  </pivotFields>
  <rowFields count="1">
    <field x="2"/>
  </rowFields>
  <rowItems count="9">
    <i>
      <x v="5"/>
    </i>
    <i>
      <x v="6"/>
    </i>
    <i>
      <x v="4"/>
    </i>
    <i>
      <x v="7"/>
    </i>
    <i>
      <x/>
    </i>
    <i>
      <x v="1"/>
    </i>
    <i>
      <x v="3"/>
    </i>
    <i>
      <x v="2"/>
    </i>
    <i t="grand">
      <x/>
    </i>
  </rowItems>
  <colItems count="1">
    <i/>
  </colItems>
  <dataFields count="1">
    <dataField name="Sum of Revenue (BDT Cr)" fld="6"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B2A46D-4373-4FBE-A683-A43634F1808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49" firstHeaderRow="1" firstDataRow="1" firstDataCol="1"/>
  <pivotFields count="7">
    <pivotField axis="axisRow" showAll="0">
      <items count="6">
        <item x="0"/>
        <item x="1"/>
        <item x="2"/>
        <item x="3"/>
        <item x="4"/>
        <item t="default"/>
      </items>
    </pivotField>
    <pivotField axis="axisRow" showAll="0" sortType="descending">
      <items count="9">
        <item x="4"/>
        <item x="1"/>
        <item x="0"/>
        <item x="2"/>
        <item x="7"/>
        <item x="3"/>
        <item x="6"/>
        <item x="5"/>
        <item t="default"/>
      </items>
      <autoSortScope>
        <pivotArea dataOnly="0" outline="0" fieldPosition="0">
          <references count="1">
            <reference field="4294967294" count="1" selected="0">
              <x v="0"/>
            </reference>
          </references>
        </pivotArea>
      </autoSortScope>
    </pivotField>
    <pivotField showAll="0">
      <items count="9">
        <item x="4"/>
        <item x="5"/>
        <item x="2"/>
        <item x="0"/>
        <item x="6"/>
        <item x="1"/>
        <item x="3"/>
        <item x="7"/>
        <item t="default"/>
      </items>
    </pivotField>
    <pivotField showAll="0">
      <items count="3">
        <item x="1"/>
        <item x="0"/>
        <item t="default"/>
      </items>
    </pivotField>
    <pivotField showAll="0"/>
    <pivotField showAll="0"/>
    <pivotField dataField="1" showAll="0"/>
  </pivotFields>
  <rowFields count="2">
    <field x="0"/>
    <field x="1"/>
  </rowFields>
  <rowItems count="46">
    <i>
      <x/>
    </i>
    <i r="1">
      <x v="7"/>
    </i>
    <i r="1">
      <x v="3"/>
    </i>
    <i r="1">
      <x v="5"/>
    </i>
    <i r="1">
      <x v="2"/>
    </i>
    <i r="1">
      <x v="4"/>
    </i>
    <i r="1">
      <x/>
    </i>
    <i r="1">
      <x v="6"/>
    </i>
    <i r="1">
      <x v="1"/>
    </i>
    <i>
      <x v="1"/>
    </i>
    <i r="1">
      <x v="5"/>
    </i>
    <i r="1">
      <x v="6"/>
    </i>
    <i r="1">
      <x v="4"/>
    </i>
    <i r="1">
      <x v="1"/>
    </i>
    <i r="1">
      <x v="2"/>
    </i>
    <i r="1">
      <x v="7"/>
    </i>
    <i r="1">
      <x/>
    </i>
    <i r="1">
      <x v="3"/>
    </i>
    <i>
      <x v="2"/>
    </i>
    <i r="1">
      <x v="6"/>
    </i>
    <i r="1">
      <x v="2"/>
    </i>
    <i r="1">
      <x v="5"/>
    </i>
    <i r="1">
      <x v="7"/>
    </i>
    <i r="1">
      <x v="1"/>
    </i>
    <i r="1">
      <x/>
    </i>
    <i r="1">
      <x v="4"/>
    </i>
    <i r="1">
      <x v="3"/>
    </i>
    <i>
      <x v="3"/>
    </i>
    <i r="1">
      <x v="3"/>
    </i>
    <i r="1">
      <x v="5"/>
    </i>
    <i r="1">
      <x/>
    </i>
    <i r="1">
      <x v="4"/>
    </i>
    <i r="1">
      <x v="1"/>
    </i>
    <i r="1">
      <x v="2"/>
    </i>
    <i r="1">
      <x v="6"/>
    </i>
    <i r="1">
      <x v="7"/>
    </i>
    <i>
      <x v="4"/>
    </i>
    <i r="1">
      <x/>
    </i>
    <i r="1">
      <x v="6"/>
    </i>
    <i r="1">
      <x v="1"/>
    </i>
    <i r="1">
      <x v="4"/>
    </i>
    <i r="1">
      <x v="2"/>
    </i>
    <i r="1">
      <x v="3"/>
    </i>
    <i r="1">
      <x v="7"/>
    </i>
    <i r="1">
      <x v="5"/>
    </i>
    <i t="grand">
      <x/>
    </i>
  </rowItems>
  <colItems count="1">
    <i/>
  </colItems>
  <dataFields count="1">
    <dataField name="Sum of Revenue (BDT Cr)" fld="6" baseField="0" baseItem="0"/>
  </dataFields>
  <chartFormats count="5">
    <chartFormat chart="15"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7D432-8FEA-4E92-A20E-F96158DEB14E}"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J10" firstHeaderRow="1" firstDataRow="2" firstDataCol="1"/>
  <pivotFields count="7">
    <pivotField axis="axisRow" showAll="0">
      <items count="6">
        <item x="0"/>
        <item x="1"/>
        <item x="2"/>
        <item x="3"/>
        <item x="4"/>
        <item t="default"/>
      </items>
    </pivotField>
    <pivotField axis="axisCol" showAll="0">
      <items count="9">
        <item x="4"/>
        <item x="1"/>
        <item x="0"/>
        <item x="2"/>
        <item x="7"/>
        <item x="3"/>
        <item x="6"/>
        <item x="5"/>
        <item t="default"/>
      </items>
    </pivotField>
    <pivotField showAll="0">
      <items count="9">
        <item x="4"/>
        <item x="5"/>
        <item x="2"/>
        <item x="0"/>
        <item x="6"/>
        <item x="1"/>
        <item x="3"/>
        <item x="7"/>
        <item t="default"/>
      </items>
    </pivotField>
    <pivotField showAll="0">
      <items count="3">
        <item x="1"/>
        <item x="0"/>
        <item t="default"/>
      </items>
    </pivotField>
    <pivotField showAll="0"/>
    <pivotField showAll="0"/>
    <pivotField dataField="1" showAll="0"/>
  </pivotFields>
  <rowFields count="1">
    <field x="0"/>
  </rowFields>
  <rowItems count="6">
    <i>
      <x/>
    </i>
    <i>
      <x v="1"/>
    </i>
    <i>
      <x v="2"/>
    </i>
    <i>
      <x v="3"/>
    </i>
    <i>
      <x v="4"/>
    </i>
    <i t="grand">
      <x/>
    </i>
  </rowItems>
  <colFields count="1">
    <field x="1"/>
  </colFields>
  <colItems count="9">
    <i>
      <x/>
    </i>
    <i>
      <x v="1"/>
    </i>
    <i>
      <x v="2"/>
    </i>
    <i>
      <x v="3"/>
    </i>
    <i>
      <x v="4"/>
    </i>
    <i>
      <x v="5"/>
    </i>
    <i>
      <x v="6"/>
    </i>
    <i>
      <x v="7"/>
    </i>
    <i t="grand">
      <x/>
    </i>
  </colItems>
  <dataFields count="1">
    <dataField name="Sum of Revenue (BDT Cr)" fld="6" baseField="0" baseItem="0"/>
  </dataFields>
  <formats count="3">
    <format dxfId="11">
      <pivotArea outline="0" collapsedLevelsAreSubtotals="1" fieldPosition="0">
        <references count="1">
          <reference field="1" count="1" selected="0">
            <x v="0"/>
          </reference>
        </references>
      </pivotArea>
    </format>
    <format dxfId="10">
      <pivotArea field="1" type="button" dataOnly="0" labelOnly="1" outline="0" axis="axisCol" fieldPosition="0"/>
    </format>
    <format dxfId="9">
      <pivotArea dataOnly="0" labelOnly="1" fieldPosition="0">
        <references count="1">
          <reference field="1" count="1">
            <x v="0"/>
          </reference>
        </references>
      </pivotArea>
    </format>
  </formats>
  <chartFormats count="1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 chart="7" format="16" series="1">
      <pivotArea type="data" outline="0" fieldPosition="0">
        <references count="2">
          <reference field="4294967294" count="1" selected="0">
            <x v="0"/>
          </reference>
          <reference field="1" count="1" selected="0">
            <x v="0"/>
          </reference>
        </references>
      </pivotArea>
    </chartFormat>
    <chartFormat chart="7" format="17" series="1">
      <pivotArea type="data" outline="0" fieldPosition="0">
        <references count="2">
          <reference field="4294967294" count="1" selected="0">
            <x v="0"/>
          </reference>
          <reference field="1" count="1" selected="0">
            <x v="1"/>
          </reference>
        </references>
      </pivotArea>
    </chartFormat>
    <chartFormat chart="7" format="18" series="1">
      <pivotArea type="data" outline="0" fieldPosition="0">
        <references count="2">
          <reference field="4294967294" count="1" selected="0">
            <x v="0"/>
          </reference>
          <reference field="1" count="1" selected="0">
            <x v="2"/>
          </reference>
        </references>
      </pivotArea>
    </chartFormat>
    <chartFormat chart="7" format="19" series="1">
      <pivotArea type="data" outline="0" fieldPosition="0">
        <references count="2">
          <reference field="4294967294" count="1" selected="0">
            <x v="0"/>
          </reference>
          <reference field="1" count="1" selected="0">
            <x v="3"/>
          </reference>
        </references>
      </pivotArea>
    </chartFormat>
    <chartFormat chart="7" format="20" series="1">
      <pivotArea type="data" outline="0" fieldPosition="0">
        <references count="2">
          <reference field="4294967294" count="1" selected="0">
            <x v="0"/>
          </reference>
          <reference field="1" count="1" selected="0">
            <x v="4"/>
          </reference>
        </references>
      </pivotArea>
    </chartFormat>
    <chartFormat chart="7" format="21" series="1">
      <pivotArea type="data" outline="0" fieldPosition="0">
        <references count="2">
          <reference field="4294967294" count="1" selected="0">
            <x v="0"/>
          </reference>
          <reference field="1" count="1" selected="0">
            <x v="5"/>
          </reference>
        </references>
      </pivotArea>
    </chartFormat>
    <chartFormat chart="7" format="22" series="1">
      <pivotArea type="data" outline="0" fieldPosition="0">
        <references count="2">
          <reference field="4294967294" count="1" selected="0">
            <x v="0"/>
          </reference>
          <reference field="1" count="1" selected="0">
            <x v="6"/>
          </reference>
        </references>
      </pivotArea>
    </chartFormat>
    <chartFormat chart="7" format="23"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EC7B7C-D59E-42ED-8E48-2474777523B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7">
    <pivotField showAll="0">
      <items count="6">
        <item x="0"/>
        <item x="1"/>
        <item x="2"/>
        <item x="3"/>
        <item x="4"/>
        <item t="default"/>
      </items>
    </pivotField>
    <pivotField showAll="0">
      <items count="9">
        <item x="4"/>
        <item x="1"/>
        <item x="0"/>
        <item x="2"/>
        <item x="7"/>
        <item x="3"/>
        <item x="6"/>
        <item x="5"/>
        <item t="default"/>
      </items>
    </pivotField>
    <pivotField showAll="0">
      <items count="9">
        <item x="4"/>
        <item x="5"/>
        <item x="2"/>
        <item x="0"/>
        <item x="6"/>
        <item x="1"/>
        <item x="3"/>
        <item x="7"/>
        <item t="default"/>
      </items>
    </pivotField>
    <pivotField axis="axisRow" showAll="0">
      <items count="3">
        <item x="1"/>
        <item x="0"/>
        <item t="default"/>
      </items>
    </pivotField>
    <pivotField showAll="0"/>
    <pivotField showAll="0"/>
    <pivotField dataField="1" showAll="0"/>
  </pivotFields>
  <rowFields count="1">
    <field x="3"/>
  </rowFields>
  <rowItems count="3">
    <i>
      <x/>
    </i>
    <i>
      <x v="1"/>
    </i>
    <i t="grand">
      <x/>
    </i>
  </rowItems>
  <colItems count="1">
    <i/>
  </colItems>
  <dataFields count="1">
    <dataField name="Sum of Revenue (BDT Cr)" fld="6"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73D2C4-3B89-48F5-8A2D-D19FE2AC0B17}"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7">
    <pivotField axis="axisRow" showAll="0">
      <items count="6">
        <item x="0"/>
        <item x="1"/>
        <item x="2"/>
        <item x="3"/>
        <item x="4"/>
        <item t="default"/>
      </items>
    </pivotField>
    <pivotField showAll="0">
      <items count="9">
        <item x="4"/>
        <item x="1"/>
        <item x="0"/>
        <item x="2"/>
        <item x="7"/>
        <item x="3"/>
        <item x="6"/>
        <item x="5"/>
        <item t="default"/>
      </items>
    </pivotField>
    <pivotField showAll="0">
      <items count="9">
        <item x="4"/>
        <item x="5"/>
        <item x="2"/>
        <item x="0"/>
        <item x="6"/>
        <item x="1"/>
        <item x="3"/>
        <item x="7"/>
        <item t="default"/>
      </items>
    </pivotField>
    <pivotField showAll="0">
      <items count="3">
        <item x="1"/>
        <item x="0"/>
        <item t="default"/>
      </items>
    </pivotField>
    <pivotField showAll="0"/>
    <pivotField dataField="1" showAll="0"/>
    <pivotField showAll="0"/>
  </pivotFields>
  <rowFields count="1">
    <field x="0"/>
  </rowFields>
  <rowItems count="6">
    <i>
      <x/>
    </i>
    <i>
      <x v="1"/>
    </i>
    <i>
      <x v="2"/>
    </i>
    <i>
      <x v="3"/>
    </i>
    <i>
      <x v="4"/>
    </i>
    <i t="grand">
      <x/>
    </i>
  </rowItems>
  <colItems count="1">
    <i/>
  </colItems>
  <dataFields count="1">
    <dataField name="Sum of Profit (BDT Cr)"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C10057-7BC9-4170-BFDB-BADDEB5A829A}"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7">
    <pivotField showAll="0">
      <items count="6">
        <item x="0"/>
        <item x="1"/>
        <item x="2"/>
        <item x="3"/>
        <item x="4"/>
        <item t="default"/>
      </items>
    </pivotField>
    <pivotField axis="axisRow" showAll="0">
      <items count="9">
        <item x="4"/>
        <item x="1"/>
        <item x="0"/>
        <item x="2"/>
        <item x="7"/>
        <item x="3"/>
        <item x="6"/>
        <item x="5"/>
        <item t="default"/>
      </items>
    </pivotField>
    <pivotField showAll="0">
      <items count="9">
        <item x="4"/>
        <item x="5"/>
        <item x="2"/>
        <item x="0"/>
        <item x="6"/>
        <item x="1"/>
        <item x="3"/>
        <item x="7"/>
        <item t="default"/>
      </items>
    </pivotField>
    <pivotField showAll="0">
      <items count="3">
        <item x="1"/>
        <item x="0"/>
        <item t="default"/>
      </items>
    </pivotField>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Profit (BDT C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652F26-2D2C-4325-9802-ACD9D0399B22}"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7">
    <pivotField axis="axisRow" showAll="0">
      <items count="6">
        <item x="0"/>
        <item x="1"/>
        <item x="2"/>
        <item x="3"/>
        <item x="4"/>
        <item t="default"/>
      </items>
    </pivotField>
    <pivotField showAll="0">
      <items count="9">
        <item x="4"/>
        <item x="1"/>
        <item x="0"/>
        <item x="2"/>
        <item x="7"/>
        <item x="3"/>
        <item x="6"/>
        <item x="5"/>
        <item t="default"/>
      </items>
    </pivotField>
    <pivotField showAll="0">
      <items count="9">
        <item x="4"/>
        <item x="5"/>
        <item x="2"/>
        <item x="0"/>
        <item x="6"/>
        <item x="1"/>
        <item x="3"/>
        <item x="7"/>
        <item t="default"/>
      </items>
    </pivotField>
    <pivotField showAll="0">
      <items count="3">
        <item x="1"/>
        <item x="0"/>
        <item t="default"/>
      </items>
    </pivotField>
    <pivotField showAll="0"/>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Revenue (BDT Cr)" fld="6" baseField="0" baseItem="0"/>
    <dataField name="Sum of Profit (BDT Cr)"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C451D3-36C3-4983-8AB0-430D99FBC2A2}"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7">
    <pivotField showAll="0">
      <items count="6">
        <item x="0"/>
        <item x="1"/>
        <item x="2"/>
        <item x="3"/>
        <item x="4"/>
        <item t="default"/>
      </items>
    </pivotField>
    <pivotField showAll="0">
      <items count="9">
        <item x="4"/>
        <item x="1"/>
        <item x="0"/>
        <item x="2"/>
        <item x="7"/>
        <item x="3"/>
        <item x="6"/>
        <item x="5"/>
        <item t="default"/>
      </items>
    </pivotField>
    <pivotField showAll="0">
      <items count="9">
        <item x="4"/>
        <item x="5"/>
        <item x="2"/>
        <item x="0"/>
        <item x="6"/>
        <item x="1"/>
        <item x="3"/>
        <item x="7"/>
        <item t="default"/>
      </items>
    </pivotField>
    <pivotField axis="axisRow" showAll="0">
      <items count="3">
        <item x="1"/>
        <item x="0"/>
        <item t="default"/>
      </items>
    </pivotField>
    <pivotField showAll="0"/>
    <pivotField dataField="1" showAll="0"/>
    <pivotField showAll="0"/>
  </pivotFields>
  <rowFields count="1">
    <field x="3"/>
  </rowFields>
  <rowItems count="3">
    <i>
      <x/>
    </i>
    <i>
      <x v="1"/>
    </i>
    <i t="grand">
      <x/>
    </i>
  </rowItems>
  <colItems count="1">
    <i/>
  </colItems>
  <dataFields count="1">
    <dataField name="Sum of Profit (BDT Cr)" fld="5" baseField="0"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867DEC-34E8-487E-B6A7-FC26EBEFDE22}"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7">
    <pivotField showAll="0">
      <items count="6">
        <item x="0"/>
        <item x="1"/>
        <item x="2"/>
        <item x="3"/>
        <item x="4"/>
        <item t="default"/>
      </items>
    </pivotField>
    <pivotField showAll="0">
      <items count="9">
        <item x="4"/>
        <item x="1"/>
        <item x="0"/>
        <item x="2"/>
        <item x="7"/>
        <item x="3"/>
        <item x="6"/>
        <item x="5"/>
        <item t="default"/>
      </items>
    </pivotField>
    <pivotField axis="axisRow" showAll="0">
      <items count="9">
        <item x="4"/>
        <item x="5"/>
        <item x="2"/>
        <item x="0"/>
        <item x="6"/>
        <item x="1"/>
        <item x="3"/>
        <item x="7"/>
        <item t="default"/>
      </items>
    </pivotField>
    <pivotField showAll="0">
      <items count="3">
        <item x="1"/>
        <item x="0"/>
        <item t="default"/>
      </items>
    </pivotField>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Sum of Profit (BDT Cr)"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606497-D113-4823-AD20-E791CE2BCC93}" sourceName="Year">
  <pivotTables>
    <pivotTable tabId="2" name="PivotTable1"/>
  </pivotTables>
  <data>
    <tabular pivotCacheId="1409151488">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 xr10:uid="{0C1EC99D-8501-4152-8825-68E71FF66EEB}" sourceName="Car">
  <pivotTables>
    <pivotTable tabId="2" name="PivotTable1"/>
  </pivotTables>
  <data>
    <tabular pivotCacheId="1409151488">
      <items count="8">
        <i x="3" s="1"/>
        <i x="5" s="1"/>
        <i x="4" s="1"/>
        <i x="1" s="1"/>
        <i x="7" s="1"/>
        <i x="6"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4B76AE6-733B-4774-A181-C8431472CA36}" sourceName="Type">
  <pivotTables>
    <pivotTable tabId="2" name="PivotTable1"/>
  </pivotTables>
  <data>
    <tabular pivotCacheId="1409151488">
      <items count="6">
        <i x="0" s="1"/>
        <i x="2" s="1"/>
        <i x="3" s="1"/>
        <i x="1"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F07EAF3-1CEF-4E26-BB50-D7B442EAA9DC}" sourceName="Year">
  <pivotTables>
    <pivotTable tabId="20" name="PivotTable4"/>
    <pivotTable tabId="25" name="PivotTable9"/>
    <pivotTable tabId="22" name="PivotTable6"/>
    <pivotTable tabId="23" name="PivotTable7"/>
    <pivotTable tabId="24" name="PivotTable8"/>
    <pivotTable tabId="21" name="PivotTable5"/>
    <pivotTable tabId="26" name="PivotTable10"/>
  </pivotTables>
  <data>
    <tabular pivotCacheId="469757107">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38B4358F-01A1-454F-A005-9F659C1002B6}" sourceName="Division">
  <pivotTables>
    <pivotTable tabId="20" name="PivotTable4"/>
    <pivotTable tabId="25" name="PivotTable9"/>
    <pivotTable tabId="22" name="PivotTable6"/>
    <pivotTable tabId="23" name="PivotTable7"/>
    <pivotTable tabId="24" name="PivotTable8"/>
    <pivotTable tabId="21" name="PivotTable5"/>
    <pivotTable tabId="26" name="PivotTable10"/>
  </pivotTables>
  <data>
    <tabular pivotCacheId="469757107">
      <items count="8">
        <i x="4" s="1"/>
        <i x="1" s="1"/>
        <i x="0" s="1"/>
        <i x="2" s="1"/>
        <i x="7" s="1"/>
        <i x="3" s="1"/>
        <i x="6"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1F46696-217B-4710-8A8C-BBE420A1322A}" sourceName="Product Type">
  <pivotTables>
    <pivotTable tabId="20" name="PivotTable4"/>
    <pivotTable tabId="25" name="PivotTable9"/>
    <pivotTable tabId="22" name="PivotTable6"/>
    <pivotTable tabId="23" name="PivotTable7"/>
    <pivotTable tabId="24" name="PivotTable8"/>
    <pivotTable tabId="21" name="PivotTable5"/>
    <pivotTable tabId="26" name="PivotTable10"/>
  </pivotTables>
  <data>
    <tabular pivotCacheId="469757107">
      <items count="8">
        <i x="4" s="1"/>
        <i x="5" s="1"/>
        <i x="2" s="1"/>
        <i x="0" s="1"/>
        <i x="6" s="1"/>
        <i x="1" s="1"/>
        <i x="3"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ethod" xr10:uid="{6BCBDD1E-B3D6-4920-966F-6DA453FD0BFA}" sourceName="Order Method">
  <pivotTables>
    <pivotTable tabId="20" name="PivotTable4"/>
    <pivotTable tabId="25" name="PivotTable9"/>
    <pivotTable tabId="22" name="PivotTable6"/>
    <pivotTable tabId="23" name="PivotTable7"/>
    <pivotTable tabId="24" name="PivotTable8"/>
    <pivotTable tabId="21" name="PivotTable5"/>
    <pivotTable tabId="26" name="PivotTable10"/>
  </pivotTables>
  <data>
    <tabular pivotCacheId="469757107">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5784C3A-1EE3-44F9-9379-E6856F86840C}" sourceName="Year">
  <pivotTables>
    <pivotTable tabId="27" name="PivotTable11"/>
    <pivotTable tabId="28" name="PivotTable12"/>
    <pivotTable tabId="31" name="PivotTable16"/>
    <pivotTable tabId="33" name="PivotTable18"/>
    <pivotTable tabId="30" name="PivotTable13"/>
  </pivotTables>
  <data>
    <tabular pivotCacheId="469757107">
      <items count="5">
        <i x="0" s="1"/>
        <i x="1" s="1"/>
        <i x="2" s="1"/>
        <i x="3"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1" xr10:uid="{8CABF6DB-251C-4B44-89BB-5DF8F0020456}" sourceName="Division">
  <pivotTables>
    <pivotTable tabId="27" name="PivotTable11"/>
    <pivotTable tabId="28" name="PivotTable12"/>
    <pivotTable tabId="31" name="PivotTable16"/>
    <pivotTable tabId="33" name="PivotTable18"/>
    <pivotTable tabId="30" name="PivotTable13"/>
  </pivotTables>
  <data>
    <tabular pivotCacheId="469757107">
      <items count="8">
        <i x="4" s="1"/>
        <i x="1" s="1"/>
        <i x="0" s="1"/>
        <i x="2" s="1"/>
        <i x="7" s="1"/>
        <i x="3" s="1"/>
        <i x="6" s="1"/>
        <i x="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833F1DE9-DAB8-4979-B03F-8B3F613D2C0C}" sourceName="Product Type">
  <pivotTables>
    <pivotTable tabId="27" name="PivotTable11"/>
    <pivotTable tabId="28" name="PivotTable12"/>
    <pivotTable tabId="31" name="PivotTable16"/>
    <pivotTable tabId="33" name="PivotTable18"/>
    <pivotTable tabId="30" name="PivotTable13"/>
  </pivotTables>
  <data>
    <tabular pivotCacheId="469757107">
      <items count="8">
        <i x="4" s="1"/>
        <i x="5" s="1"/>
        <i x="2" s="1"/>
        <i x="0" s="1"/>
        <i x="6" s="1"/>
        <i x="1" s="1"/>
        <i x="3" s="1"/>
        <i x="7"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ethod1" xr10:uid="{E37B003D-26FD-406B-B4FA-0FF9C1E18564}" sourceName="Order Method">
  <pivotTables>
    <pivotTable tabId="27" name="PivotTable11"/>
    <pivotTable tabId="28" name="PivotTable12"/>
    <pivotTable tabId="31" name="PivotTable16"/>
    <pivotTable tabId="33" name="PivotTable18"/>
    <pivotTable tabId="30" name="PivotTable13"/>
  </pivotTables>
  <data>
    <tabular pivotCacheId="469757107">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56DFA137-ABEA-42E9-945F-A3320AD0B474}" sourceName="Sales Rep">
  <extLst>
    <x:ext xmlns:x15="http://schemas.microsoft.com/office/spreadsheetml/2010/11/main" uri="{2F2917AC-EB37-4324-AD4E-5DD8C200BD13}">
      <x15:tableSlicerCache tableId="3" column="7"/>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5934A04-A615-4645-97F5-4228AADB3A86}" sourceName="Payment Method">
  <extLst>
    <x:ext xmlns:x15="http://schemas.microsoft.com/office/spreadsheetml/2010/11/main" uri="{2F2917AC-EB37-4324-AD4E-5DD8C200BD13}">
      <x15:tableSlicerCache tableId="3" column="8"/>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3" xr10:uid="{1A6153B2-16B4-4D07-9FA1-F12331E16F43}" sourceName="Q3(Eligibility)">
  <extLst>
    <x:ext xmlns:x15="http://schemas.microsoft.com/office/spreadsheetml/2010/11/main" uri="{2F2917AC-EB37-4324-AD4E-5DD8C200BD13}">
      <x15:tableSlicerCache tableId="3"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9DC9FD0-60D8-4C24-AEC4-33680256FAC7}" cache="Slicer_Year1" caption="Year" rowHeight="257175"/>
  <slicer name="Division" xr10:uid="{513B732F-C8F9-4764-8E06-F8C7EED55E74}" cache="Slicer_Division" caption="Division" rowHeight="257175"/>
  <slicer name="Product Type" xr10:uid="{33F51CE4-7046-4036-82E3-C0AFDFDE39AF}" cache="Slicer_Product_Type" caption="Product Type" rowHeight="257175"/>
  <slicer name="Order Method" xr10:uid="{5386121B-B1BF-467F-BDA2-6026537C5C05}" cache="Slicer_Order_Method" caption="Order Meth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9B64005-83B5-49A4-845F-7E9CCD9C66EF}" cache="Slicer_Year2" caption="Year" rowHeight="257175"/>
  <slicer name="Division 1" xr10:uid="{15844373-C245-46D1-AA50-C24939B13B9F}" cache="Slicer_Division1" caption="Division" rowHeight="257175"/>
  <slicer name="Product Type 1" xr10:uid="{663BB3ED-C925-43DA-8902-2A5758D7DEDC}" cache="Slicer_Product_Type1" caption="Product Type" rowHeight="257175"/>
  <slicer name="Order Method 1" xr10:uid="{24043FAA-F7F4-41A5-A511-1F9A9799AA37}" cache="Slicer_Order_Method1" caption="Order Metho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0CB0BFC5-38FF-4665-90F3-F84EFD238949}" cache="Slicer_Sales_Rep" caption="Sales Rep" rowHeight="257175"/>
  <slicer name="Payment Method" xr10:uid="{3D8A5546-8EC7-4C9D-87F4-80EA15820555}" cache="Slicer_Payment_Method" caption="Payment Method" rowHeight="257175"/>
  <slicer name="Q3" xr10:uid="{FC6D2B6B-F82D-4826-A6F4-19C7D3FD4890}" cache="Slicer_Q3" caption="Q3(Eligibilit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EE4AAC5-2F0C-43C7-88D2-05F0596C4F4C}" cache="Slicer_Year" caption="Year" rowHeight="257175"/>
  <slicer name="Car 1" xr10:uid="{1773762F-2A85-4782-980D-B363164922F2}" cache="Slicer_Car" caption="Car" rowHeight="257175"/>
  <slicer name="Type 1" xr10:uid="{7880E99C-44AB-448F-81C0-4C4C02CC01B0}" cache="Slicer_Type" caption="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7AF23C-034A-4261-B515-2808D8994550}" name="Table3" displayName="Table3" ref="A1:I41" totalsRowShown="0" headerRowDxfId="22" dataDxfId="21">
  <autoFilter ref="A1:I41" xr:uid="{837AF23C-034A-4261-B515-2808D8994550}"/>
  <tableColumns count="9">
    <tableColumn id="1" xr3:uid="{0BAC0A68-4910-4049-9CEF-39B8E15D46D9}" name="Customer ID" dataDxfId="20"/>
    <tableColumn id="2" xr3:uid="{0B5732A5-0027-4D08-BA1E-F10BF558EFB2}" name="Purchase date" dataDxfId="19"/>
    <tableColumn id="3" xr3:uid="{3E147822-7436-44EB-B52B-C16A1AE7EE74}" name="Product ID" dataDxfId="18"/>
    <tableColumn id="4" xr3:uid="{EF74E39B-EC98-4CF5-ABAD-FAF3DAAEDB6D}" name="Quantity" dataDxfId="17"/>
    <tableColumn id="5" xr3:uid="{895EA90F-263E-4EFA-92B9-A740EC558D30}" name="Unit Price" dataDxfId="16"/>
    <tableColumn id="6" xr3:uid="{CDBCEB30-FEC4-4F1E-A68C-07011326E072}" name="Total Price" dataDxfId="15"/>
    <tableColumn id="7" xr3:uid="{D476A50A-217C-4BCB-A617-B0CB402937DB}" name="Sales Rep" dataDxfId="14"/>
    <tableColumn id="8" xr3:uid="{9EA0BDCB-406D-4C73-AFCC-EF73401B15D2}" name="Payment Method" dataDxfId="13"/>
    <tableColumn id="9" xr3:uid="{D1481FF8-B055-43C7-9854-30D076C0C4EF}" name="Q3(Eligibility)" dataDxfId="12">
      <calculatedColumnFormula>IF(ISNA(MATCH(C2, W:W, 0)), "NO",
   IF(H2="Cash",
      IF(D2&gt;=IFERROR(INDEX(W:W, MATCH(C2, X:X, 0)), 0), "YES", "NO"),
      IF(D2&gt;=IFERROR(INDEX(Y:Y, MATCH(C2, X:X, 0)), 0), "YES", "NO")
   )
)</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1.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2.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7638-3DD5-4B31-A62D-B482E1D8FB05}">
  <sheetPr codeName="Sheet7"/>
  <dimension ref="A1:H1"/>
  <sheetViews>
    <sheetView showGridLines="0" workbookViewId="0"/>
  </sheetViews>
  <sheetFormatPr defaultRowHeight="15" x14ac:dyDescent="0.25"/>
  <cols>
    <col min="1" max="1" width="5" bestFit="1" customWidth="1"/>
    <col min="2" max="2" width="7.85546875" bestFit="1" customWidth="1"/>
    <col min="3" max="4" width="16.5703125" bestFit="1" customWidth="1"/>
    <col min="5" max="5" width="16" bestFit="1" customWidth="1"/>
    <col min="6" max="6" width="16.42578125" bestFit="1" customWidth="1"/>
    <col min="7" max="7" width="17" bestFit="1" customWidth="1"/>
    <col min="8" max="8" width="13.7109375" bestFit="1" customWidth="1"/>
  </cols>
  <sheetData>
    <row r="1" spans="1:8" x14ac:dyDescent="0.25">
      <c r="A1" s="33"/>
      <c r="B1" s="33"/>
      <c r="C1" s="33"/>
      <c r="D1" s="33"/>
      <c r="E1" s="33"/>
      <c r="F1" s="33"/>
      <c r="G1" s="33"/>
      <c r="H1"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4853-FFBA-4873-AE7B-53D51E3ABC94}">
  <sheetPr codeName="Sheet8"/>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65CD-24B2-4CBF-9A45-9A4A97EB485B}">
  <sheetPr codeName="Sheet4"/>
  <dimension ref="A1:Z41"/>
  <sheetViews>
    <sheetView workbookViewId="0">
      <selection activeCell="W22" sqref="W22"/>
    </sheetView>
  </sheetViews>
  <sheetFormatPr defaultRowHeight="15" x14ac:dyDescent="0.25"/>
  <cols>
    <col min="1" max="2" width="10.5703125" style="14" customWidth="1"/>
    <col min="3" max="3" width="10" style="14" customWidth="1"/>
    <col min="4" max="4" width="8.5703125" style="14" customWidth="1"/>
    <col min="5" max="5" width="9.85546875" style="14" customWidth="1"/>
    <col min="6" max="6" width="10.140625" style="14" customWidth="1"/>
    <col min="7" max="7" width="8.28515625" style="14" customWidth="1"/>
    <col min="8" max="8" width="13.7109375" style="14" customWidth="1"/>
    <col min="9" max="9" width="11.85546875" style="14" customWidth="1"/>
    <col min="10" max="10" width="5.42578125" style="14" customWidth="1"/>
    <col min="11" max="17" width="9.140625" style="14"/>
    <col min="18" max="18" width="8.140625" style="14" customWidth="1"/>
    <col min="19" max="19" width="14" style="14" customWidth="1"/>
    <col min="20" max="20" width="9.140625" style="14"/>
    <col min="21" max="21" width="15.42578125" style="14" customWidth="1"/>
    <col min="22" max="22" width="9.140625" style="14"/>
    <col min="23" max="23" width="10.5703125" style="14" customWidth="1"/>
    <col min="24" max="24" width="15.28515625" style="18" customWidth="1"/>
    <col min="25" max="25" width="15.28515625" style="14" customWidth="1"/>
    <col min="26" max="16384" width="9.140625" style="14"/>
  </cols>
  <sheetData>
    <row r="1" spans="1:26" ht="15.75" customHeight="1" x14ac:dyDescent="0.25">
      <c r="A1" s="16" t="s">
        <v>24</v>
      </c>
      <c r="B1" s="16" t="s">
        <v>25</v>
      </c>
      <c r="C1" s="16" t="s">
        <v>26</v>
      </c>
      <c r="D1" s="16" t="s">
        <v>3</v>
      </c>
      <c r="E1" s="16" t="s">
        <v>27</v>
      </c>
      <c r="F1" s="16" t="s">
        <v>28</v>
      </c>
      <c r="G1" s="16" t="s">
        <v>29</v>
      </c>
      <c r="H1" s="16" t="s">
        <v>30</v>
      </c>
      <c r="I1" s="17" t="s">
        <v>111</v>
      </c>
      <c r="K1" s="40" t="s">
        <v>89</v>
      </c>
      <c r="L1" s="40"/>
      <c r="M1" s="40"/>
      <c r="N1" s="40"/>
      <c r="O1" s="40"/>
      <c r="P1" s="40"/>
      <c r="Q1" s="40"/>
      <c r="R1" s="40"/>
      <c r="S1" s="24" t="s">
        <v>90</v>
      </c>
      <c r="T1" s="40" t="s">
        <v>91</v>
      </c>
      <c r="U1" s="40"/>
      <c r="W1" s="38" t="s">
        <v>100</v>
      </c>
      <c r="X1" s="38"/>
      <c r="Y1" s="38"/>
    </row>
    <row r="2" spans="1:26" ht="16.5" customHeight="1" x14ac:dyDescent="0.25">
      <c r="A2" s="14" t="s">
        <v>31</v>
      </c>
      <c r="B2" s="15">
        <v>45352</v>
      </c>
      <c r="C2" s="14">
        <v>101</v>
      </c>
      <c r="D2" s="14">
        <v>2</v>
      </c>
      <c r="E2" s="14">
        <v>15.99</v>
      </c>
      <c r="F2" s="14">
        <v>31.98</v>
      </c>
      <c r="G2" s="14" t="s">
        <v>96</v>
      </c>
      <c r="H2" s="14" t="s">
        <v>34</v>
      </c>
      <c r="I2" s="14" t="str">
        <f t="shared" ref="I2:I41" si="0">IF(ISNA(MATCH(C2, W:W, 0)), "NO",
   IF(H2="Cash",
      IF(D2&gt;=IFERROR(INDEX(W:W, MATCH(C2, X:X, 0)), 0), "YES", "NO"),
      IF(D2&gt;=IFERROR(INDEX(Y:Y, MATCH(C2, X:X, 0)), 0), "YES", "NO")
   )
)</f>
        <v>NO</v>
      </c>
      <c r="K2" s="36">
        <v>1</v>
      </c>
      <c r="L2" s="45" t="s">
        <v>102</v>
      </c>
      <c r="M2" s="45"/>
      <c r="N2" s="45"/>
      <c r="O2" s="45"/>
      <c r="P2" s="45"/>
      <c r="Q2" s="45"/>
      <c r="R2" s="45"/>
      <c r="S2" s="36">
        <f>SUMIFS(D2:D41, G2:G41, "Miller", H2:H41, "Cash", B2:B41, "&gt;=" &amp; DATE(2024,3,1), B2:B41, "&lt;=" &amp; DATE(2024,3,10))</f>
        <v>7</v>
      </c>
      <c r="T2" s="43" t="s">
        <v>92</v>
      </c>
      <c r="U2" s="44"/>
      <c r="W2" s="36" t="s">
        <v>26</v>
      </c>
      <c r="X2" s="37" t="s">
        <v>94</v>
      </c>
      <c r="Y2" s="37" t="s">
        <v>95</v>
      </c>
      <c r="Z2" s="20"/>
    </row>
    <row r="3" spans="1:26" x14ac:dyDescent="0.25">
      <c r="A3" s="14" t="s">
        <v>35</v>
      </c>
      <c r="B3" s="15">
        <v>45353</v>
      </c>
      <c r="C3" s="14">
        <v>103</v>
      </c>
      <c r="D3" s="14">
        <v>1</v>
      </c>
      <c r="E3" s="14">
        <v>45.5</v>
      </c>
      <c r="F3" s="14">
        <v>45.5</v>
      </c>
      <c r="G3" s="14" t="s">
        <v>97</v>
      </c>
      <c r="H3" s="14" t="s">
        <v>38</v>
      </c>
      <c r="I3" s="14" t="str">
        <f t="shared" si="0"/>
        <v>NO</v>
      </c>
      <c r="K3" s="36"/>
      <c r="L3" s="45"/>
      <c r="M3" s="45"/>
      <c r="N3" s="45"/>
      <c r="O3" s="45"/>
      <c r="P3" s="45"/>
      <c r="Q3" s="45"/>
      <c r="R3" s="45"/>
      <c r="S3" s="36"/>
      <c r="T3" s="44"/>
      <c r="U3" s="44"/>
      <c r="W3" s="36"/>
      <c r="X3" s="37"/>
      <c r="Y3" s="37"/>
      <c r="Z3" s="20"/>
    </row>
    <row r="4" spans="1:26" ht="14.25" customHeight="1" x14ac:dyDescent="0.25">
      <c r="A4" s="14" t="s">
        <v>39</v>
      </c>
      <c r="B4" s="15">
        <v>45353</v>
      </c>
      <c r="C4" s="14">
        <v>104</v>
      </c>
      <c r="D4" s="14">
        <v>3</v>
      </c>
      <c r="E4" s="14">
        <v>12</v>
      </c>
      <c r="F4" s="14">
        <v>36</v>
      </c>
      <c r="G4" s="14" t="s">
        <v>98</v>
      </c>
      <c r="H4" s="14" t="s">
        <v>42</v>
      </c>
      <c r="I4" s="14" t="str">
        <f t="shared" si="0"/>
        <v>NO</v>
      </c>
      <c r="K4" s="36">
        <v>2</v>
      </c>
      <c r="L4" s="41" t="s">
        <v>93</v>
      </c>
      <c r="M4" s="41"/>
      <c r="N4" s="41"/>
      <c r="O4" s="41"/>
      <c r="P4" s="41"/>
      <c r="Q4" s="41"/>
      <c r="R4" s="41"/>
      <c r="S4" s="42" cm="1">
        <f t="array" ref="S4">COUNTA(
  _xlfn.UNIQUE(
    _xlfn._xlws.FILTER(
      A2:A41,
      (A2:A41&lt;&gt;"") * (C2:C41 &gt; 105) * (C2:C41 &lt; 110) * (B2:B41 &gt; DATE(2024,3,10))
    )
  )
)</f>
        <v>9</v>
      </c>
      <c r="T4" s="43" t="s">
        <v>92</v>
      </c>
      <c r="U4" s="43"/>
      <c r="W4" s="21">
        <v>106</v>
      </c>
      <c r="X4" s="22">
        <v>3</v>
      </c>
      <c r="Y4" s="21">
        <v>2</v>
      </c>
    </row>
    <row r="5" spans="1:26" x14ac:dyDescent="0.25">
      <c r="A5" s="14" t="s">
        <v>43</v>
      </c>
      <c r="B5" s="15">
        <v>45354</v>
      </c>
      <c r="C5" s="14">
        <v>101</v>
      </c>
      <c r="D5" s="14">
        <v>1</v>
      </c>
      <c r="E5" s="14">
        <v>15.99</v>
      </c>
      <c r="F5" s="14">
        <v>15.99</v>
      </c>
      <c r="G5" s="14" t="s">
        <v>99</v>
      </c>
      <c r="H5" s="14" t="s">
        <v>45</v>
      </c>
      <c r="I5" s="14" t="str">
        <f t="shared" si="0"/>
        <v>NO</v>
      </c>
      <c r="K5" s="36"/>
      <c r="L5" s="41"/>
      <c r="M5" s="41"/>
      <c r="N5" s="41"/>
      <c r="O5" s="41"/>
      <c r="P5" s="41"/>
      <c r="Q5" s="41"/>
      <c r="R5" s="41"/>
      <c r="S5" s="42"/>
      <c r="T5" s="43"/>
      <c r="U5" s="43"/>
      <c r="W5" s="21">
        <v>107</v>
      </c>
      <c r="X5" s="22">
        <v>3</v>
      </c>
      <c r="Y5" s="21">
        <v>2</v>
      </c>
    </row>
    <row r="6" spans="1:26" x14ac:dyDescent="0.25">
      <c r="A6" s="14" t="s">
        <v>46</v>
      </c>
      <c r="B6" s="15">
        <v>45355</v>
      </c>
      <c r="C6" s="14">
        <v>102</v>
      </c>
      <c r="D6" s="14">
        <v>5</v>
      </c>
      <c r="E6" s="14">
        <v>8.5</v>
      </c>
      <c r="F6" s="14">
        <v>42.5</v>
      </c>
      <c r="G6" s="14" t="s">
        <v>96</v>
      </c>
      <c r="H6" s="14" t="s">
        <v>34</v>
      </c>
      <c r="I6" s="14" t="str">
        <f t="shared" si="0"/>
        <v>NO</v>
      </c>
      <c r="K6" s="36"/>
      <c r="L6" s="41"/>
      <c r="M6" s="41"/>
      <c r="N6" s="41"/>
      <c r="O6" s="41"/>
      <c r="P6" s="41"/>
      <c r="Q6" s="41"/>
      <c r="R6" s="41"/>
      <c r="S6" s="42"/>
      <c r="T6" s="43"/>
      <c r="U6" s="43"/>
      <c r="W6" s="21">
        <v>108</v>
      </c>
      <c r="X6" s="22">
        <v>3</v>
      </c>
      <c r="Y6" s="21">
        <v>2</v>
      </c>
    </row>
    <row r="7" spans="1:26" ht="16.5" customHeight="1" x14ac:dyDescent="0.25">
      <c r="A7" s="14" t="s">
        <v>48</v>
      </c>
      <c r="B7" s="15">
        <v>45355</v>
      </c>
      <c r="C7" s="14">
        <v>105</v>
      </c>
      <c r="D7" s="14">
        <v>2</v>
      </c>
      <c r="E7" s="14">
        <v>22.3</v>
      </c>
      <c r="F7" s="14">
        <v>44.6</v>
      </c>
      <c r="G7" s="14" t="s">
        <v>97</v>
      </c>
      <c r="H7" s="14" t="s">
        <v>38</v>
      </c>
      <c r="I7" s="14" t="str">
        <f t="shared" si="0"/>
        <v>NO</v>
      </c>
      <c r="K7" s="36">
        <v>3</v>
      </c>
      <c r="L7" s="39" t="s">
        <v>207</v>
      </c>
      <c r="M7" s="39"/>
      <c r="N7" s="39"/>
      <c r="O7" s="39"/>
      <c r="P7" s="39"/>
      <c r="Q7" s="39"/>
      <c r="R7" s="39"/>
      <c r="S7" s="36" t="s">
        <v>101</v>
      </c>
      <c r="T7" s="36" t="s">
        <v>92</v>
      </c>
      <c r="U7" s="36"/>
      <c r="W7" s="21">
        <v>109</v>
      </c>
      <c r="X7" s="22">
        <v>3</v>
      </c>
      <c r="Y7" s="21">
        <v>2</v>
      </c>
    </row>
    <row r="8" spans="1:26" x14ac:dyDescent="0.25">
      <c r="A8" s="14" t="s">
        <v>50</v>
      </c>
      <c r="B8" s="15">
        <v>45356</v>
      </c>
      <c r="C8" s="14">
        <v>106</v>
      </c>
      <c r="D8" s="14">
        <v>4</v>
      </c>
      <c r="E8" s="14">
        <v>10</v>
      </c>
      <c r="F8" s="14">
        <v>40</v>
      </c>
      <c r="G8" s="14" t="s">
        <v>98</v>
      </c>
      <c r="H8" s="14" t="s">
        <v>42</v>
      </c>
      <c r="I8" s="14" t="str">
        <f t="shared" si="0"/>
        <v>YES</v>
      </c>
      <c r="K8" s="36"/>
      <c r="L8" s="39"/>
      <c r="M8" s="39"/>
      <c r="N8" s="39"/>
      <c r="O8" s="39"/>
      <c r="P8" s="39"/>
      <c r="Q8" s="39"/>
      <c r="R8" s="39"/>
      <c r="S8" s="36"/>
      <c r="T8" s="36"/>
      <c r="U8" s="36"/>
    </row>
    <row r="9" spans="1:26" x14ac:dyDescent="0.25">
      <c r="A9" s="14" t="s">
        <v>52</v>
      </c>
      <c r="B9" s="15">
        <v>45357</v>
      </c>
      <c r="C9" s="14">
        <v>101</v>
      </c>
      <c r="D9" s="14">
        <v>2</v>
      </c>
      <c r="E9" s="14">
        <v>15.99</v>
      </c>
      <c r="F9" s="14">
        <v>31.98</v>
      </c>
      <c r="G9" s="14" t="s">
        <v>99</v>
      </c>
      <c r="H9" s="14" t="s">
        <v>45</v>
      </c>
      <c r="I9" s="14" t="str">
        <f t="shared" si="0"/>
        <v>NO</v>
      </c>
      <c r="K9" s="36"/>
      <c r="L9" s="39"/>
      <c r="M9" s="39"/>
      <c r="N9" s="39"/>
      <c r="O9" s="39"/>
      <c r="P9" s="39"/>
      <c r="Q9" s="39"/>
      <c r="R9" s="39"/>
      <c r="S9" s="36"/>
      <c r="T9" s="36"/>
      <c r="U9" s="36"/>
    </row>
    <row r="10" spans="1:26" x14ac:dyDescent="0.25">
      <c r="A10" s="14" t="s">
        <v>53</v>
      </c>
      <c r="B10" s="15">
        <v>45358</v>
      </c>
      <c r="C10" s="14">
        <v>103</v>
      </c>
      <c r="D10" s="14">
        <v>3</v>
      </c>
      <c r="E10" s="14">
        <v>45.5</v>
      </c>
      <c r="F10" s="14">
        <v>136.5</v>
      </c>
      <c r="G10" s="14" t="s">
        <v>96</v>
      </c>
      <c r="H10" s="14" t="s">
        <v>34</v>
      </c>
      <c r="I10" s="14" t="str">
        <f t="shared" si="0"/>
        <v>NO</v>
      </c>
      <c r="L10" s="19"/>
      <c r="M10" s="19"/>
      <c r="N10" s="19"/>
      <c r="O10" s="19"/>
      <c r="P10" s="19"/>
      <c r="Q10" s="19"/>
      <c r="R10" s="19"/>
    </row>
    <row r="11" spans="1:26" x14ac:dyDescent="0.25">
      <c r="A11" s="14" t="s">
        <v>54</v>
      </c>
      <c r="B11" s="15">
        <v>45359</v>
      </c>
      <c r="C11" s="14">
        <v>107</v>
      </c>
      <c r="D11" s="14">
        <v>1</v>
      </c>
      <c r="E11" s="14">
        <v>60</v>
      </c>
      <c r="F11" s="14">
        <v>60</v>
      </c>
      <c r="G11" s="14" t="s">
        <v>97</v>
      </c>
      <c r="H11" s="14" t="s">
        <v>38</v>
      </c>
      <c r="I11" s="14" t="str">
        <f t="shared" si="0"/>
        <v>YES</v>
      </c>
      <c r="L11" s="19"/>
      <c r="M11" s="19"/>
      <c r="N11" s="19"/>
      <c r="O11" s="19"/>
      <c r="P11" s="19"/>
      <c r="Q11" s="19"/>
      <c r="R11" s="19"/>
    </row>
    <row r="12" spans="1:26" x14ac:dyDescent="0.25">
      <c r="A12" s="14" t="s">
        <v>56</v>
      </c>
      <c r="B12" s="15">
        <v>45359</v>
      </c>
      <c r="C12" s="14">
        <v>108</v>
      </c>
      <c r="D12" s="14">
        <v>2</v>
      </c>
      <c r="E12" s="14">
        <v>5</v>
      </c>
      <c r="F12" s="14">
        <v>10</v>
      </c>
      <c r="G12" s="14" t="s">
        <v>98</v>
      </c>
      <c r="H12" s="14" t="s">
        <v>42</v>
      </c>
      <c r="I12" s="14" t="str">
        <f t="shared" si="0"/>
        <v>YES</v>
      </c>
      <c r="L12" s="19"/>
      <c r="M12" s="19"/>
      <c r="N12" s="19"/>
      <c r="O12" s="19"/>
      <c r="P12" s="19"/>
      <c r="Q12" s="19"/>
      <c r="R12" s="19"/>
    </row>
    <row r="13" spans="1:26" x14ac:dyDescent="0.25">
      <c r="A13" s="14" t="s">
        <v>58</v>
      </c>
      <c r="B13" s="15">
        <v>45360</v>
      </c>
      <c r="C13" s="14">
        <v>102</v>
      </c>
      <c r="D13" s="14">
        <v>4</v>
      </c>
      <c r="E13" s="14">
        <v>8.5</v>
      </c>
      <c r="F13" s="14">
        <v>34</v>
      </c>
      <c r="G13" s="14" t="s">
        <v>99</v>
      </c>
      <c r="H13" s="14" t="s">
        <v>45</v>
      </c>
      <c r="I13" s="14" t="str">
        <f t="shared" si="0"/>
        <v>NO</v>
      </c>
    </row>
    <row r="14" spans="1:26" x14ac:dyDescent="0.25">
      <c r="A14" s="14" t="s">
        <v>59</v>
      </c>
      <c r="B14" s="15">
        <v>45361</v>
      </c>
      <c r="C14" s="14">
        <v>109</v>
      </c>
      <c r="D14" s="14">
        <v>2</v>
      </c>
      <c r="E14" s="14">
        <v>19.989999999999998</v>
      </c>
      <c r="F14" s="14">
        <v>39.979999999999997</v>
      </c>
      <c r="G14" s="14" t="s">
        <v>96</v>
      </c>
      <c r="H14" s="14" t="s">
        <v>34</v>
      </c>
      <c r="I14" s="14" t="str">
        <f t="shared" si="0"/>
        <v>YES</v>
      </c>
    </row>
    <row r="15" spans="1:26" x14ac:dyDescent="0.25">
      <c r="A15" s="14" t="s">
        <v>61</v>
      </c>
      <c r="B15" s="15">
        <v>45362</v>
      </c>
      <c r="C15" s="14">
        <v>110</v>
      </c>
      <c r="D15" s="14">
        <v>3</v>
      </c>
      <c r="E15" s="14">
        <v>25</v>
      </c>
      <c r="F15" s="14">
        <v>75</v>
      </c>
      <c r="G15" s="14" t="s">
        <v>97</v>
      </c>
      <c r="H15" s="14" t="s">
        <v>38</v>
      </c>
      <c r="I15" s="14" t="str">
        <f t="shared" si="0"/>
        <v>NO</v>
      </c>
    </row>
    <row r="16" spans="1:26" x14ac:dyDescent="0.25">
      <c r="A16" s="14" t="s">
        <v>63</v>
      </c>
      <c r="B16" s="15">
        <v>45362</v>
      </c>
      <c r="C16" s="14">
        <v>104</v>
      </c>
      <c r="D16" s="14">
        <v>1</v>
      </c>
      <c r="E16" s="14">
        <v>12</v>
      </c>
      <c r="F16" s="14">
        <v>12</v>
      </c>
      <c r="G16" s="14" t="s">
        <v>98</v>
      </c>
      <c r="H16" s="14" t="s">
        <v>42</v>
      </c>
      <c r="I16" s="14" t="str">
        <f t="shared" si="0"/>
        <v>NO</v>
      </c>
    </row>
    <row r="17" spans="1:18" x14ac:dyDescent="0.25">
      <c r="A17" s="14" t="s">
        <v>64</v>
      </c>
      <c r="B17" s="15">
        <v>45363</v>
      </c>
      <c r="C17" s="14">
        <v>106</v>
      </c>
      <c r="D17" s="14">
        <v>2</v>
      </c>
      <c r="E17" s="14">
        <v>10</v>
      </c>
      <c r="F17" s="14">
        <v>20</v>
      </c>
      <c r="G17" s="14" t="s">
        <v>99</v>
      </c>
      <c r="H17" s="14" t="s">
        <v>45</v>
      </c>
      <c r="I17" s="14" t="str">
        <f t="shared" si="0"/>
        <v>YES</v>
      </c>
    </row>
    <row r="18" spans="1:18" x14ac:dyDescent="0.25">
      <c r="A18" s="14" t="s">
        <v>65</v>
      </c>
      <c r="B18" s="15">
        <v>45364</v>
      </c>
      <c r="C18" s="14">
        <v>105</v>
      </c>
      <c r="D18" s="14">
        <v>4</v>
      </c>
      <c r="E18" s="14">
        <v>22.3</v>
      </c>
      <c r="F18" s="14">
        <v>89.2</v>
      </c>
      <c r="G18" s="14" t="s">
        <v>96</v>
      </c>
      <c r="H18" s="14" t="s">
        <v>34</v>
      </c>
      <c r="I18" s="14" t="str">
        <f t="shared" si="0"/>
        <v>NO</v>
      </c>
    </row>
    <row r="19" spans="1:18" x14ac:dyDescent="0.25">
      <c r="A19" s="14" t="s">
        <v>66</v>
      </c>
      <c r="B19" s="15">
        <v>45364</v>
      </c>
      <c r="C19" s="14">
        <v>101</v>
      </c>
      <c r="D19" s="14">
        <v>3</v>
      </c>
      <c r="E19" s="14">
        <v>15.99</v>
      </c>
      <c r="F19" s="14">
        <v>47.97</v>
      </c>
      <c r="G19" s="14" t="s">
        <v>97</v>
      </c>
      <c r="H19" s="14" t="s">
        <v>38</v>
      </c>
      <c r="I19" s="14" t="str">
        <f t="shared" si="0"/>
        <v>NO</v>
      </c>
    </row>
    <row r="20" spans="1:18" x14ac:dyDescent="0.25">
      <c r="A20" s="14" t="s">
        <v>67</v>
      </c>
      <c r="B20" s="15">
        <v>45365</v>
      </c>
      <c r="C20" s="14">
        <v>108</v>
      </c>
      <c r="D20" s="14">
        <v>1</v>
      </c>
      <c r="E20" s="14">
        <v>5</v>
      </c>
      <c r="F20" s="14">
        <v>5</v>
      </c>
      <c r="G20" s="14" t="s">
        <v>98</v>
      </c>
      <c r="H20" s="14" t="s">
        <v>42</v>
      </c>
      <c r="I20" s="14" t="str">
        <f t="shared" si="0"/>
        <v>YES</v>
      </c>
      <c r="Q20" s="11"/>
    </row>
    <row r="21" spans="1:18" x14ac:dyDescent="0.25">
      <c r="A21" s="14" t="s">
        <v>68</v>
      </c>
      <c r="B21" s="15">
        <v>45366</v>
      </c>
      <c r="C21" s="14">
        <v>110</v>
      </c>
      <c r="D21" s="14">
        <v>2</v>
      </c>
      <c r="E21" s="14">
        <v>25</v>
      </c>
      <c r="F21" s="14">
        <v>50</v>
      </c>
      <c r="G21" s="14" t="s">
        <v>99</v>
      </c>
      <c r="H21" s="14" t="s">
        <v>45</v>
      </c>
      <c r="I21" s="14" t="str">
        <f t="shared" si="0"/>
        <v>NO</v>
      </c>
    </row>
    <row r="22" spans="1:18" x14ac:dyDescent="0.25">
      <c r="A22" s="14" t="s">
        <v>69</v>
      </c>
      <c r="B22" s="15">
        <v>45366</v>
      </c>
      <c r="C22" s="14">
        <v>103</v>
      </c>
      <c r="D22" s="14">
        <v>2</v>
      </c>
      <c r="E22" s="14">
        <v>45.5</v>
      </c>
      <c r="F22" s="14">
        <v>91</v>
      </c>
      <c r="G22" s="14" t="s">
        <v>96</v>
      </c>
      <c r="H22" s="14" t="s">
        <v>34</v>
      </c>
      <c r="I22" s="14" t="str">
        <f t="shared" si="0"/>
        <v>NO</v>
      </c>
    </row>
    <row r="23" spans="1:18" x14ac:dyDescent="0.25">
      <c r="A23" s="14" t="s">
        <v>70</v>
      </c>
      <c r="B23" s="15">
        <v>45367</v>
      </c>
      <c r="C23" s="14">
        <v>109</v>
      </c>
      <c r="D23" s="14">
        <v>3</v>
      </c>
      <c r="E23" s="14">
        <v>19.989999999999998</v>
      </c>
      <c r="F23" s="14">
        <v>59.97</v>
      </c>
      <c r="G23" s="14" t="s">
        <v>97</v>
      </c>
      <c r="H23" s="14" t="s">
        <v>38</v>
      </c>
      <c r="I23" s="14" t="str">
        <f t="shared" si="0"/>
        <v>YES</v>
      </c>
      <c r="R23" s="11"/>
    </row>
    <row r="24" spans="1:18" x14ac:dyDescent="0.25">
      <c r="A24" s="14" t="s">
        <v>71</v>
      </c>
      <c r="B24" s="15">
        <v>45368</v>
      </c>
      <c r="C24" s="14">
        <v>107</v>
      </c>
      <c r="D24" s="14">
        <v>1</v>
      </c>
      <c r="E24" s="14">
        <v>60</v>
      </c>
      <c r="F24" s="14">
        <v>60</v>
      </c>
      <c r="G24" s="14" t="s">
        <v>98</v>
      </c>
      <c r="H24" s="14" t="s">
        <v>42</v>
      </c>
      <c r="I24" s="14" t="str">
        <f t="shared" si="0"/>
        <v>YES</v>
      </c>
    </row>
    <row r="25" spans="1:18" x14ac:dyDescent="0.25">
      <c r="A25" s="14" t="s">
        <v>72</v>
      </c>
      <c r="B25" s="15">
        <v>45368</v>
      </c>
      <c r="C25" s="14">
        <v>106</v>
      </c>
      <c r="D25" s="14">
        <v>3</v>
      </c>
      <c r="E25" s="14">
        <v>10</v>
      </c>
      <c r="F25" s="14">
        <v>30</v>
      </c>
      <c r="G25" s="14" t="s">
        <v>99</v>
      </c>
      <c r="H25" s="14" t="s">
        <v>45</v>
      </c>
      <c r="I25" s="14" t="str">
        <f t="shared" si="0"/>
        <v>YES</v>
      </c>
    </row>
    <row r="26" spans="1:18" x14ac:dyDescent="0.25">
      <c r="A26" s="14" t="s">
        <v>73</v>
      </c>
      <c r="B26" s="15">
        <v>45369</v>
      </c>
      <c r="C26" s="14">
        <v>104</v>
      </c>
      <c r="D26" s="14">
        <v>2</v>
      </c>
      <c r="E26" s="14">
        <v>12</v>
      </c>
      <c r="F26" s="14">
        <v>24</v>
      </c>
      <c r="G26" s="14" t="s">
        <v>96</v>
      </c>
      <c r="H26" s="14" t="s">
        <v>34</v>
      </c>
      <c r="I26" s="14" t="str">
        <f t="shared" si="0"/>
        <v>NO</v>
      </c>
    </row>
    <row r="27" spans="1:18" x14ac:dyDescent="0.25">
      <c r="A27" s="14" t="s">
        <v>74</v>
      </c>
      <c r="B27" s="15">
        <v>45369</v>
      </c>
      <c r="C27" s="14">
        <v>102</v>
      </c>
      <c r="D27" s="14">
        <v>5</v>
      </c>
      <c r="E27" s="14">
        <v>8.5</v>
      </c>
      <c r="F27" s="14">
        <v>42.5</v>
      </c>
      <c r="G27" s="14" t="s">
        <v>97</v>
      </c>
      <c r="H27" s="14" t="s">
        <v>38</v>
      </c>
      <c r="I27" s="14" t="str">
        <f t="shared" si="0"/>
        <v>NO</v>
      </c>
    </row>
    <row r="28" spans="1:18" x14ac:dyDescent="0.25">
      <c r="A28" s="14" t="s">
        <v>75</v>
      </c>
      <c r="B28" s="15">
        <v>45370</v>
      </c>
      <c r="C28" s="14">
        <v>110</v>
      </c>
      <c r="D28" s="14">
        <v>1</v>
      </c>
      <c r="E28" s="14">
        <v>25</v>
      </c>
      <c r="F28" s="14">
        <v>25</v>
      </c>
      <c r="G28" s="14" t="s">
        <v>98</v>
      </c>
      <c r="H28" s="14" t="s">
        <v>42</v>
      </c>
      <c r="I28" s="14" t="str">
        <f t="shared" si="0"/>
        <v>NO</v>
      </c>
    </row>
    <row r="29" spans="1:18" x14ac:dyDescent="0.25">
      <c r="A29" s="14" t="s">
        <v>76</v>
      </c>
      <c r="B29" s="15">
        <v>45371</v>
      </c>
      <c r="C29" s="14">
        <v>101</v>
      </c>
      <c r="D29" s="14">
        <v>2</v>
      </c>
      <c r="E29" s="14">
        <v>15.99</v>
      </c>
      <c r="F29" s="14">
        <v>31.98</v>
      </c>
      <c r="G29" s="14" t="s">
        <v>99</v>
      </c>
      <c r="H29" s="14" t="s">
        <v>45</v>
      </c>
      <c r="I29" s="14" t="str">
        <f t="shared" si="0"/>
        <v>NO</v>
      </c>
    </row>
    <row r="30" spans="1:18" x14ac:dyDescent="0.25">
      <c r="A30" s="14" t="s">
        <v>77</v>
      </c>
      <c r="B30" s="15">
        <v>45371</v>
      </c>
      <c r="C30" s="14">
        <v>105</v>
      </c>
      <c r="D30" s="14">
        <v>3</v>
      </c>
      <c r="E30" s="14">
        <v>22.3</v>
      </c>
      <c r="F30" s="14">
        <v>66.900000000000006</v>
      </c>
      <c r="G30" s="14" t="s">
        <v>96</v>
      </c>
      <c r="H30" s="14" t="s">
        <v>34</v>
      </c>
      <c r="I30" s="14" t="str">
        <f t="shared" si="0"/>
        <v>NO</v>
      </c>
    </row>
    <row r="31" spans="1:18" x14ac:dyDescent="0.25">
      <c r="A31" s="14" t="s">
        <v>78</v>
      </c>
      <c r="B31" s="15">
        <v>45372</v>
      </c>
      <c r="C31" s="14">
        <v>103</v>
      </c>
      <c r="D31" s="14">
        <v>1</v>
      </c>
      <c r="E31" s="14">
        <v>45.5</v>
      </c>
      <c r="F31" s="14">
        <v>45.5</v>
      </c>
      <c r="G31" s="14" t="s">
        <v>97</v>
      </c>
      <c r="H31" s="14" t="s">
        <v>38</v>
      </c>
      <c r="I31" s="14" t="str">
        <f t="shared" si="0"/>
        <v>NO</v>
      </c>
    </row>
    <row r="32" spans="1:18" x14ac:dyDescent="0.25">
      <c r="A32" s="14" t="s">
        <v>79</v>
      </c>
      <c r="B32" s="15">
        <v>45372</v>
      </c>
      <c r="C32" s="14">
        <v>104</v>
      </c>
      <c r="D32" s="14">
        <v>4</v>
      </c>
      <c r="E32" s="14">
        <v>12</v>
      </c>
      <c r="F32" s="14">
        <v>48</v>
      </c>
      <c r="G32" s="14" t="s">
        <v>98</v>
      </c>
      <c r="H32" s="14" t="s">
        <v>42</v>
      </c>
      <c r="I32" s="14" t="str">
        <f t="shared" si="0"/>
        <v>NO</v>
      </c>
    </row>
    <row r="33" spans="1:9" x14ac:dyDescent="0.25">
      <c r="A33" s="14" t="s">
        <v>80</v>
      </c>
      <c r="B33" s="15">
        <v>45373</v>
      </c>
      <c r="C33" s="14">
        <v>102</v>
      </c>
      <c r="D33" s="14">
        <v>2</v>
      </c>
      <c r="E33" s="14">
        <v>8.5</v>
      </c>
      <c r="F33" s="14">
        <v>17</v>
      </c>
      <c r="G33" s="14" t="s">
        <v>99</v>
      </c>
      <c r="H33" s="14" t="s">
        <v>45</v>
      </c>
      <c r="I33" s="14" t="str">
        <f t="shared" si="0"/>
        <v>NO</v>
      </c>
    </row>
    <row r="34" spans="1:9" x14ac:dyDescent="0.25">
      <c r="A34" s="14" t="s">
        <v>81</v>
      </c>
      <c r="B34" s="15">
        <v>45373</v>
      </c>
      <c r="C34" s="14">
        <v>109</v>
      </c>
      <c r="D34" s="14">
        <v>1</v>
      </c>
      <c r="E34" s="14">
        <v>19.989999999999998</v>
      </c>
      <c r="F34" s="14">
        <v>19.989999999999998</v>
      </c>
      <c r="G34" s="14" t="s">
        <v>96</v>
      </c>
      <c r="H34" s="14" t="s">
        <v>34</v>
      </c>
      <c r="I34" s="14" t="str">
        <f t="shared" si="0"/>
        <v>YES</v>
      </c>
    </row>
    <row r="35" spans="1:9" x14ac:dyDescent="0.25">
      <c r="A35" s="14" t="s">
        <v>82</v>
      </c>
      <c r="B35" s="15">
        <v>45374</v>
      </c>
      <c r="C35" s="14">
        <v>107</v>
      </c>
      <c r="D35" s="14">
        <v>2</v>
      </c>
      <c r="E35" s="14">
        <v>60</v>
      </c>
      <c r="F35" s="14">
        <v>120</v>
      </c>
      <c r="G35" s="14" t="s">
        <v>97</v>
      </c>
      <c r="H35" s="14" t="s">
        <v>38</v>
      </c>
      <c r="I35" s="14" t="str">
        <f t="shared" si="0"/>
        <v>YES</v>
      </c>
    </row>
    <row r="36" spans="1:9" x14ac:dyDescent="0.25">
      <c r="A36" s="14" t="s">
        <v>83</v>
      </c>
      <c r="B36" s="15">
        <v>45374</v>
      </c>
      <c r="C36" s="14">
        <v>106</v>
      </c>
      <c r="D36" s="14">
        <v>1</v>
      </c>
      <c r="E36" s="14">
        <v>10</v>
      </c>
      <c r="F36" s="14">
        <v>10</v>
      </c>
      <c r="G36" s="14" t="s">
        <v>98</v>
      </c>
      <c r="H36" s="14" t="s">
        <v>42</v>
      </c>
      <c r="I36" s="14" t="str">
        <f t="shared" si="0"/>
        <v>YES</v>
      </c>
    </row>
    <row r="37" spans="1:9" x14ac:dyDescent="0.25">
      <c r="A37" s="14" t="s">
        <v>84</v>
      </c>
      <c r="B37" s="15">
        <v>45375</v>
      </c>
      <c r="C37" s="14">
        <v>101</v>
      </c>
      <c r="D37" s="14">
        <v>3</v>
      </c>
      <c r="E37" s="14">
        <v>15.99</v>
      </c>
      <c r="F37" s="14">
        <v>47.97</v>
      </c>
      <c r="G37" s="14" t="s">
        <v>99</v>
      </c>
      <c r="H37" s="14" t="s">
        <v>45</v>
      </c>
      <c r="I37" s="14" t="str">
        <f t="shared" si="0"/>
        <v>NO</v>
      </c>
    </row>
    <row r="38" spans="1:9" x14ac:dyDescent="0.25">
      <c r="A38" s="14" t="s">
        <v>85</v>
      </c>
      <c r="B38" s="15">
        <v>45376</v>
      </c>
      <c r="C38" s="14">
        <v>108</v>
      </c>
      <c r="D38" s="14">
        <v>4</v>
      </c>
      <c r="E38" s="14">
        <v>5</v>
      </c>
      <c r="F38" s="14">
        <v>20</v>
      </c>
      <c r="G38" s="14" t="s">
        <v>96</v>
      </c>
      <c r="H38" s="14" t="s">
        <v>34</v>
      </c>
      <c r="I38" s="14" t="str">
        <f t="shared" si="0"/>
        <v>YES</v>
      </c>
    </row>
    <row r="39" spans="1:9" x14ac:dyDescent="0.25">
      <c r="A39" s="14" t="s">
        <v>86</v>
      </c>
      <c r="B39" s="15">
        <v>45376</v>
      </c>
      <c r="C39" s="14">
        <v>110</v>
      </c>
      <c r="D39" s="14">
        <v>2</v>
      </c>
      <c r="E39" s="14">
        <v>25</v>
      </c>
      <c r="F39" s="14">
        <v>50</v>
      </c>
      <c r="G39" s="14" t="s">
        <v>97</v>
      </c>
      <c r="H39" s="14" t="s">
        <v>38</v>
      </c>
      <c r="I39" s="14" t="str">
        <f t="shared" si="0"/>
        <v>NO</v>
      </c>
    </row>
    <row r="40" spans="1:9" x14ac:dyDescent="0.25">
      <c r="A40" s="14" t="s">
        <v>87</v>
      </c>
      <c r="B40" s="15">
        <v>45377</v>
      </c>
      <c r="C40" s="14">
        <v>103</v>
      </c>
      <c r="D40" s="14">
        <v>2</v>
      </c>
      <c r="E40" s="14">
        <v>45.5</v>
      </c>
      <c r="F40" s="14">
        <v>91</v>
      </c>
      <c r="G40" s="14" t="s">
        <v>98</v>
      </c>
      <c r="H40" s="14" t="s">
        <v>42</v>
      </c>
      <c r="I40" s="14" t="str">
        <f t="shared" si="0"/>
        <v>NO</v>
      </c>
    </row>
    <row r="41" spans="1:9" x14ac:dyDescent="0.25">
      <c r="A41" s="14" t="s">
        <v>88</v>
      </c>
      <c r="B41" s="15">
        <v>45377</v>
      </c>
      <c r="C41" s="14">
        <v>105</v>
      </c>
      <c r="D41" s="14">
        <v>1</v>
      </c>
      <c r="E41" s="14">
        <v>22.3</v>
      </c>
      <c r="F41" s="14">
        <v>22.3</v>
      </c>
      <c r="G41" s="14" t="s">
        <v>99</v>
      </c>
      <c r="H41" s="14" t="s">
        <v>45</v>
      </c>
      <c r="I41" s="14" t="str">
        <f t="shared" si="0"/>
        <v>NO</v>
      </c>
    </row>
  </sheetData>
  <mergeCells count="18">
    <mergeCell ref="L2:R3"/>
    <mergeCell ref="T7:U9"/>
    <mergeCell ref="K4:K6"/>
    <mergeCell ref="Y2:Y3"/>
    <mergeCell ref="W1:Y1"/>
    <mergeCell ref="L7:R9"/>
    <mergeCell ref="K7:K9"/>
    <mergeCell ref="S7:S9"/>
    <mergeCell ref="W2:W3"/>
    <mergeCell ref="X2:X3"/>
    <mergeCell ref="T1:U1"/>
    <mergeCell ref="S2:S3"/>
    <mergeCell ref="L4:R6"/>
    <mergeCell ref="S4:S6"/>
    <mergeCell ref="T2:U3"/>
    <mergeCell ref="T4:U6"/>
    <mergeCell ref="K1:R1"/>
    <mergeCell ref="K2:K3"/>
  </mergeCells>
  <conditionalFormatting sqref="I1:I1048576">
    <cfRule type="iconSet" priority="1">
      <iconSet iconSet="3Symbols">
        <cfvo type="percent" val="0"/>
        <cfvo type="percent" val="33"/>
        <cfvo type="percent" val="67"/>
      </iconSet>
    </cfRule>
    <cfRule type="containsText" dxfId="8" priority="6" operator="containsText" text="NO">
      <formula>NOT(ISERROR(SEARCH("NO",I1)))</formula>
    </cfRule>
    <cfRule type="containsText" dxfId="7" priority="9" operator="containsText" text="NO">
      <formula>NOT(ISERROR(SEARCH("NO",I1)))</formula>
    </cfRule>
    <cfRule type="containsText" dxfId="6" priority="10" operator="containsText" text="NO">
      <formula>NOT(ISERROR(SEARCH("NO",I1)))</formula>
    </cfRule>
    <cfRule type="containsText" dxfId="5" priority="11" operator="containsText" text="NO">
      <formula>NOT(ISERROR(SEARCH("NO",I1)))</formula>
    </cfRule>
    <cfRule type="containsText" dxfId="4" priority="12" operator="containsText" text="YES">
      <formula>NOT(ISERROR(SEARCH("YES",I1)))</formula>
    </cfRule>
    <cfRule type="containsText" dxfId="3" priority="13" operator="containsText" text="NO">
      <formula>NOT(ISERROR(SEARCH("NO",I1)))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B01B-DCB2-4C6B-9BF2-921B4AF6E0D1}">
  <sheetPr codeName="Sheet9"/>
  <dimension ref="A1:K41"/>
  <sheetViews>
    <sheetView workbookViewId="0">
      <selection activeCell="K8" sqref="K8"/>
    </sheetView>
  </sheetViews>
  <sheetFormatPr defaultRowHeight="15" x14ac:dyDescent="0.25"/>
  <cols>
    <col min="11" max="11" width="10.85546875" customWidth="1"/>
  </cols>
  <sheetData>
    <row r="1" spans="1:11" x14ac:dyDescent="0.25">
      <c r="A1" t="s">
        <v>24</v>
      </c>
      <c r="B1" t="s">
        <v>103</v>
      </c>
      <c r="C1" t="s">
        <v>112</v>
      </c>
      <c r="D1" t="s">
        <v>26</v>
      </c>
      <c r="E1" t="s">
        <v>113</v>
      </c>
      <c r="F1" t="s">
        <v>114</v>
      </c>
      <c r="I1" s="25" t="s">
        <v>103</v>
      </c>
      <c r="J1" s="25" t="s">
        <v>114</v>
      </c>
      <c r="K1" s="25" t="s">
        <v>91</v>
      </c>
    </row>
    <row r="2" spans="1:11" x14ac:dyDescent="0.25">
      <c r="A2" t="s">
        <v>31</v>
      </c>
      <c r="B2" t="s">
        <v>121</v>
      </c>
      <c r="C2" t="s">
        <v>115</v>
      </c>
      <c r="D2" t="s">
        <v>32</v>
      </c>
      <c r="E2" s="13">
        <v>45356</v>
      </c>
      <c r="F2">
        <v>1200</v>
      </c>
      <c r="I2" s="46" t="s">
        <v>130</v>
      </c>
      <c r="J2">
        <f>VLOOKUP(I2, B2:F41, 5, FALSE)</f>
        <v>1200</v>
      </c>
      <c r="K2" s="26" t="s">
        <v>160</v>
      </c>
    </row>
    <row r="3" spans="1:11" x14ac:dyDescent="0.25">
      <c r="A3" t="s">
        <v>35</v>
      </c>
      <c r="B3" t="s">
        <v>122</v>
      </c>
      <c r="C3" t="s">
        <v>119</v>
      </c>
      <c r="D3" t="s">
        <v>47</v>
      </c>
      <c r="E3" s="13">
        <v>45359</v>
      </c>
      <c r="F3">
        <v>800</v>
      </c>
      <c r="I3" s="46"/>
      <c r="J3" s="14" t="str">
        <f>_xlfn.XLOOKUP(I2, B:B, C:C)</f>
        <v>Laptop</v>
      </c>
      <c r="K3" s="26" t="s">
        <v>161</v>
      </c>
    </row>
    <row r="4" spans="1:11" x14ac:dyDescent="0.25">
      <c r="A4" t="s">
        <v>39</v>
      </c>
      <c r="B4" t="s">
        <v>123</v>
      </c>
      <c r="C4" t="s">
        <v>116</v>
      </c>
      <c r="D4" t="s">
        <v>36</v>
      </c>
      <c r="E4" s="13">
        <v>45363</v>
      </c>
      <c r="F4">
        <v>950</v>
      </c>
    </row>
    <row r="5" spans="1:11" x14ac:dyDescent="0.25">
      <c r="A5" t="s">
        <v>43</v>
      </c>
      <c r="B5" t="s">
        <v>124</v>
      </c>
      <c r="C5" t="s">
        <v>117</v>
      </c>
      <c r="D5" t="s">
        <v>40</v>
      </c>
      <c r="E5" s="13">
        <v>45366</v>
      </c>
      <c r="F5">
        <v>450</v>
      </c>
    </row>
    <row r="6" spans="1:11" x14ac:dyDescent="0.25">
      <c r="A6" t="s">
        <v>46</v>
      </c>
      <c r="B6" t="s">
        <v>120</v>
      </c>
      <c r="C6" t="s">
        <v>118</v>
      </c>
      <c r="D6" t="s">
        <v>49</v>
      </c>
      <c r="E6" s="13">
        <v>45369</v>
      </c>
      <c r="F6">
        <v>150</v>
      </c>
    </row>
    <row r="7" spans="1:11" x14ac:dyDescent="0.25">
      <c r="A7" t="s">
        <v>48</v>
      </c>
      <c r="B7" t="s">
        <v>125</v>
      </c>
      <c r="C7" t="s">
        <v>115</v>
      </c>
      <c r="D7" t="s">
        <v>32</v>
      </c>
      <c r="E7" s="13">
        <v>45371</v>
      </c>
      <c r="F7">
        <v>1200</v>
      </c>
    </row>
    <row r="8" spans="1:11" x14ac:dyDescent="0.25">
      <c r="A8" t="s">
        <v>50</v>
      </c>
      <c r="B8" t="s">
        <v>126</v>
      </c>
      <c r="C8" t="s">
        <v>119</v>
      </c>
      <c r="D8" t="s">
        <v>47</v>
      </c>
      <c r="E8" s="13">
        <v>45373</v>
      </c>
      <c r="F8">
        <v>800</v>
      </c>
    </row>
    <row r="9" spans="1:11" x14ac:dyDescent="0.25">
      <c r="A9" t="s">
        <v>52</v>
      </c>
      <c r="B9" t="s">
        <v>127</v>
      </c>
      <c r="C9" t="s">
        <v>116</v>
      </c>
      <c r="D9" t="s">
        <v>36</v>
      </c>
      <c r="E9" s="13">
        <v>45375</v>
      </c>
      <c r="F9">
        <v>950</v>
      </c>
    </row>
    <row r="10" spans="1:11" x14ac:dyDescent="0.25">
      <c r="A10" t="s">
        <v>53</v>
      </c>
      <c r="B10" t="s">
        <v>128</v>
      </c>
      <c r="C10" t="s">
        <v>117</v>
      </c>
      <c r="D10" t="s">
        <v>40</v>
      </c>
      <c r="E10" s="13">
        <v>45376</v>
      </c>
      <c r="F10">
        <v>450</v>
      </c>
    </row>
    <row r="11" spans="1:11" x14ac:dyDescent="0.25">
      <c r="A11" t="s">
        <v>54</v>
      </c>
      <c r="B11" t="s">
        <v>129</v>
      </c>
      <c r="C11" t="s">
        <v>118</v>
      </c>
      <c r="D11" t="s">
        <v>49</v>
      </c>
      <c r="E11" s="13">
        <v>45378</v>
      </c>
      <c r="F11">
        <v>150</v>
      </c>
    </row>
    <row r="12" spans="1:11" x14ac:dyDescent="0.25">
      <c r="A12" t="s">
        <v>56</v>
      </c>
      <c r="B12" t="s">
        <v>130</v>
      </c>
      <c r="C12" t="s">
        <v>115</v>
      </c>
      <c r="D12" t="s">
        <v>32</v>
      </c>
      <c r="E12" s="13">
        <v>45379</v>
      </c>
      <c r="F12">
        <v>1200</v>
      </c>
    </row>
    <row r="13" spans="1:11" x14ac:dyDescent="0.25">
      <c r="A13" t="s">
        <v>58</v>
      </c>
      <c r="B13" t="s">
        <v>131</v>
      </c>
      <c r="C13" t="s">
        <v>119</v>
      </c>
      <c r="D13" t="s">
        <v>47</v>
      </c>
      <c r="E13" s="13">
        <v>45380</v>
      </c>
      <c r="F13">
        <v>800</v>
      </c>
    </row>
    <row r="14" spans="1:11" x14ac:dyDescent="0.25">
      <c r="A14" t="s">
        <v>59</v>
      </c>
      <c r="B14" t="s">
        <v>132</v>
      </c>
      <c r="C14" t="s">
        <v>116</v>
      </c>
      <c r="D14" t="s">
        <v>36</v>
      </c>
      <c r="E14" s="13">
        <v>45381</v>
      </c>
      <c r="F14">
        <v>950</v>
      </c>
    </row>
    <row r="15" spans="1:11" x14ac:dyDescent="0.25">
      <c r="A15" t="s">
        <v>61</v>
      </c>
      <c r="B15" t="s">
        <v>133</v>
      </c>
      <c r="C15" t="s">
        <v>117</v>
      </c>
      <c r="D15" t="s">
        <v>40</v>
      </c>
      <c r="E15" s="13">
        <v>45383</v>
      </c>
      <c r="F15">
        <v>450</v>
      </c>
    </row>
    <row r="16" spans="1:11" x14ac:dyDescent="0.25">
      <c r="A16" t="s">
        <v>63</v>
      </c>
      <c r="B16" t="s">
        <v>134</v>
      </c>
      <c r="C16" t="s">
        <v>118</v>
      </c>
      <c r="D16" t="s">
        <v>49</v>
      </c>
      <c r="E16" s="13">
        <v>45384</v>
      </c>
      <c r="F16">
        <v>150</v>
      </c>
    </row>
    <row r="17" spans="1:6" x14ac:dyDescent="0.25">
      <c r="A17" t="s">
        <v>64</v>
      </c>
      <c r="B17" t="s">
        <v>135</v>
      </c>
      <c r="C17" t="s">
        <v>115</v>
      </c>
      <c r="D17" t="s">
        <v>32</v>
      </c>
      <c r="E17" s="13">
        <v>45385</v>
      </c>
      <c r="F17">
        <v>1200</v>
      </c>
    </row>
    <row r="18" spans="1:6" x14ac:dyDescent="0.25">
      <c r="A18" t="s">
        <v>65</v>
      </c>
      <c r="B18" t="s">
        <v>136</v>
      </c>
      <c r="C18" t="s">
        <v>119</v>
      </c>
      <c r="D18" t="s">
        <v>47</v>
      </c>
      <c r="E18" s="13">
        <v>45386</v>
      </c>
      <c r="F18">
        <v>800</v>
      </c>
    </row>
    <row r="19" spans="1:6" x14ac:dyDescent="0.25">
      <c r="A19" t="s">
        <v>66</v>
      </c>
      <c r="B19" t="s">
        <v>137</v>
      </c>
      <c r="C19" t="s">
        <v>116</v>
      </c>
      <c r="D19" t="s">
        <v>36</v>
      </c>
      <c r="E19" s="13">
        <v>45387</v>
      </c>
      <c r="F19">
        <v>950</v>
      </c>
    </row>
    <row r="20" spans="1:6" x14ac:dyDescent="0.25">
      <c r="A20" t="s">
        <v>67</v>
      </c>
      <c r="B20" t="s">
        <v>138</v>
      </c>
      <c r="C20" t="s">
        <v>117</v>
      </c>
      <c r="D20" t="s">
        <v>40</v>
      </c>
      <c r="E20" s="13">
        <v>45388</v>
      </c>
      <c r="F20">
        <v>450</v>
      </c>
    </row>
    <row r="21" spans="1:6" x14ac:dyDescent="0.25">
      <c r="A21" t="s">
        <v>68</v>
      </c>
      <c r="B21" t="s">
        <v>139</v>
      </c>
      <c r="C21" t="s">
        <v>118</v>
      </c>
      <c r="D21" t="s">
        <v>49</v>
      </c>
      <c r="E21" s="13">
        <v>45389</v>
      </c>
      <c r="F21">
        <v>150</v>
      </c>
    </row>
    <row r="22" spans="1:6" x14ac:dyDescent="0.25">
      <c r="A22" t="s">
        <v>69</v>
      </c>
      <c r="B22" t="s">
        <v>140</v>
      </c>
      <c r="C22" t="s">
        <v>115</v>
      </c>
      <c r="D22" t="s">
        <v>32</v>
      </c>
      <c r="E22" s="13">
        <v>45390</v>
      </c>
      <c r="F22">
        <v>1200</v>
      </c>
    </row>
    <row r="23" spans="1:6" x14ac:dyDescent="0.25">
      <c r="A23" t="s">
        <v>70</v>
      </c>
      <c r="B23" t="s">
        <v>141</v>
      </c>
      <c r="C23" t="s">
        <v>119</v>
      </c>
      <c r="D23" t="s">
        <v>47</v>
      </c>
      <c r="E23" s="13">
        <v>45391</v>
      </c>
      <c r="F23">
        <v>800</v>
      </c>
    </row>
    <row r="24" spans="1:6" x14ac:dyDescent="0.25">
      <c r="A24" t="s">
        <v>71</v>
      </c>
      <c r="B24" t="s">
        <v>142</v>
      </c>
      <c r="C24" t="s">
        <v>116</v>
      </c>
      <c r="D24" t="s">
        <v>36</v>
      </c>
      <c r="E24" s="13">
        <v>45392</v>
      </c>
      <c r="F24">
        <v>950</v>
      </c>
    </row>
    <row r="25" spans="1:6" x14ac:dyDescent="0.25">
      <c r="A25" t="s">
        <v>72</v>
      </c>
      <c r="B25" t="s">
        <v>143</v>
      </c>
      <c r="C25" t="s">
        <v>117</v>
      </c>
      <c r="D25" t="s">
        <v>40</v>
      </c>
      <c r="E25" s="13">
        <v>45393</v>
      </c>
      <c r="F25">
        <v>450</v>
      </c>
    </row>
    <row r="26" spans="1:6" x14ac:dyDescent="0.25">
      <c r="A26" t="s">
        <v>73</v>
      </c>
      <c r="B26" t="s">
        <v>144</v>
      </c>
      <c r="C26" t="s">
        <v>118</v>
      </c>
      <c r="D26" t="s">
        <v>49</v>
      </c>
      <c r="E26" s="13">
        <v>45394</v>
      </c>
      <c r="F26">
        <v>150</v>
      </c>
    </row>
    <row r="27" spans="1:6" x14ac:dyDescent="0.25">
      <c r="A27" t="s">
        <v>74</v>
      </c>
      <c r="B27" t="s">
        <v>145</v>
      </c>
      <c r="C27" t="s">
        <v>115</v>
      </c>
      <c r="D27" t="s">
        <v>32</v>
      </c>
      <c r="E27" s="13">
        <v>45395</v>
      </c>
      <c r="F27">
        <v>1200</v>
      </c>
    </row>
    <row r="28" spans="1:6" x14ac:dyDescent="0.25">
      <c r="A28" t="s">
        <v>75</v>
      </c>
      <c r="B28" t="s">
        <v>146</v>
      </c>
      <c r="C28" t="s">
        <v>119</v>
      </c>
      <c r="D28" t="s">
        <v>47</v>
      </c>
      <c r="E28" s="13">
        <v>45396</v>
      </c>
      <c r="F28">
        <v>800</v>
      </c>
    </row>
    <row r="29" spans="1:6" x14ac:dyDescent="0.25">
      <c r="A29" t="s">
        <v>76</v>
      </c>
      <c r="B29" t="s">
        <v>147</v>
      </c>
      <c r="C29" t="s">
        <v>116</v>
      </c>
      <c r="D29" t="s">
        <v>36</v>
      </c>
      <c r="E29" s="13">
        <v>45397</v>
      </c>
      <c r="F29">
        <v>950</v>
      </c>
    </row>
    <row r="30" spans="1:6" x14ac:dyDescent="0.25">
      <c r="A30" t="s">
        <v>77</v>
      </c>
      <c r="B30" t="s">
        <v>148</v>
      </c>
      <c r="C30" t="s">
        <v>117</v>
      </c>
      <c r="D30" t="s">
        <v>40</v>
      </c>
      <c r="E30" s="13">
        <v>45398</v>
      </c>
      <c r="F30">
        <v>450</v>
      </c>
    </row>
    <row r="31" spans="1:6" x14ac:dyDescent="0.25">
      <c r="A31" t="s">
        <v>78</v>
      </c>
      <c r="B31" t="s">
        <v>149</v>
      </c>
      <c r="C31" t="s">
        <v>118</v>
      </c>
      <c r="D31" t="s">
        <v>49</v>
      </c>
      <c r="E31" s="13">
        <v>45399</v>
      </c>
      <c r="F31">
        <v>150</v>
      </c>
    </row>
    <row r="32" spans="1:6" x14ac:dyDescent="0.25">
      <c r="A32" t="s">
        <v>79</v>
      </c>
      <c r="B32" t="s">
        <v>150</v>
      </c>
      <c r="C32" t="s">
        <v>115</v>
      </c>
      <c r="D32" t="s">
        <v>32</v>
      </c>
      <c r="E32" s="13">
        <v>45400</v>
      </c>
      <c r="F32">
        <v>1200</v>
      </c>
    </row>
    <row r="33" spans="1:6" x14ac:dyDescent="0.25">
      <c r="A33" t="s">
        <v>80</v>
      </c>
      <c r="B33" t="s">
        <v>151</v>
      </c>
      <c r="C33" t="s">
        <v>119</v>
      </c>
      <c r="D33" t="s">
        <v>47</v>
      </c>
      <c r="E33" s="13">
        <v>45401</v>
      </c>
      <c r="F33">
        <v>800</v>
      </c>
    </row>
    <row r="34" spans="1:6" x14ac:dyDescent="0.25">
      <c r="A34" t="s">
        <v>81</v>
      </c>
      <c r="B34" t="s">
        <v>152</v>
      </c>
      <c r="C34" t="s">
        <v>116</v>
      </c>
      <c r="D34" t="s">
        <v>36</v>
      </c>
      <c r="E34" s="13">
        <v>45402</v>
      </c>
      <c r="F34">
        <v>950</v>
      </c>
    </row>
    <row r="35" spans="1:6" x14ac:dyDescent="0.25">
      <c r="A35" t="s">
        <v>82</v>
      </c>
      <c r="B35" t="s">
        <v>153</v>
      </c>
      <c r="C35" t="s">
        <v>117</v>
      </c>
      <c r="D35" t="s">
        <v>40</v>
      </c>
      <c r="E35" s="13">
        <v>45403</v>
      </c>
      <c r="F35">
        <v>450</v>
      </c>
    </row>
    <row r="36" spans="1:6" x14ac:dyDescent="0.25">
      <c r="A36" t="s">
        <v>83</v>
      </c>
      <c r="B36" t="s">
        <v>154</v>
      </c>
      <c r="C36" t="s">
        <v>118</v>
      </c>
      <c r="D36" t="s">
        <v>49</v>
      </c>
      <c r="E36" s="13">
        <v>45404</v>
      </c>
      <c r="F36">
        <v>150</v>
      </c>
    </row>
    <row r="37" spans="1:6" x14ac:dyDescent="0.25">
      <c r="A37" t="s">
        <v>84</v>
      </c>
      <c r="B37" t="s">
        <v>155</v>
      </c>
      <c r="C37" t="s">
        <v>115</v>
      </c>
      <c r="D37" t="s">
        <v>32</v>
      </c>
      <c r="E37" s="13">
        <v>45405</v>
      </c>
      <c r="F37">
        <v>1200</v>
      </c>
    </row>
    <row r="38" spans="1:6" x14ac:dyDescent="0.25">
      <c r="A38" t="s">
        <v>85</v>
      </c>
      <c r="B38" t="s">
        <v>156</v>
      </c>
      <c r="C38" t="s">
        <v>119</v>
      </c>
      <c r="D38" t="s">
        <v>47</v>
      </c>
      <c r="E38" s="13">
        <v>45406</v>
      </c>
      <c r="F38">
        <v>800</v>
      </c>
    </row>
    <row r="39" spans="1:6" x14ac:dyDescent="0.25">
      <c r="A39" t="s">
        <v>86</v>
      </c>
      <c r="B39" t="s">
        <v>157</v>
      </c>
      <c r="C39" t="s">
        <v>116</v>
      </c>
      <c r="D39" t="s">
        <v>36</v>
      </c>
      <c r="E39" s="13">
        <v>45407</v>
      </c>
      <c r="F39">
        <v>950</v>
      </c>
    </row>
    <row r="40" spans="1:6" x14ac:dyDescent="0.25">
      <c r="A40" t="s">
        <v>87</v>
      </c>
      <c r="B40" t="s">
        <v>158</v>
      </c>
      <c r="C40" t="s">
        <v>117</v>
      </c>
      <c r="D40" t="s">
        <v>40</v>
      </c>
      <c r="E40" s="13">
        <v>45408</v>
      </c>
      <c r="F40">
        <v>450</v>
      </c>
    </row>
    <row r="41" spans="1:6" x14ac:dyDescent="0.25">
      <c r="A41" t="s">
        <v>88</v>
      </c>
      <c r="B41" t="s">
        <v>159</v>
      </c>
      <c r="C41" t="s">
        <v>118</v>
      </c>
      <c r="D41" t="s">
        <v>49</v>
      </c>
      <c r="E41" s="13">
        <v>45409</v>
      </c>
      <c r="F41">
        <v>150</v>
      </c>
    </row>
  </sheetData>
  <mergeCells count="1">
    <mergeCell ref="I2:I3"/>
  </mergeCells>
  <conditionalFormatting sqref="I2:I3">
    <cfRule type="containsText" dxfId="2" priority="1" operator="containsText" text="Kate">
      <formula>NOT(ISERROR(SEARCH("Kate",I2)))</formula>
    </cfRule>
  </conditionalFormatting>
  <conditionalFormatting sqref="K2:K3">
    <cfRule type="containsText" dxfId="1" priority="3" operator="containsText" text="VLOOKUP">
      <formula>NOT(ISERROR(SEARCH("VLOOKUP",K2)))</formula>
    </cfRule>
  </conditionalFormatting>
  <conditionalFormatting sqref="K3">
    <cfRule type="containsText" dxfId="0" priority="2" operator="containsText" text="XLOOKUP">
      <formula>NOT(ISERROR(SEARCH("XLOOKUP",K3)))</formula>
    </cfRule>
  </conditionalFormatting>
  <dataValidations count="1">
    <dataValidation type="list" allowBlank="1" showInputMessage="1" showErrorMessage="1" errorTitle="Enter Name" error="May be you have entered number" promptTitle="What is your name?" prompt="Name please" sqref="I2" xr:uid="{1AB37754-2C6C-4FD4-8F2D-786EFFEFD24E}">
      <formula1>$B$2:$B$41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1021-C9D6-45B0-B6C8-7EC005C28EA0}">
  <sheetPr codeName="Sheet5"/>
  <dimension ref="A1:D3"/>
  <sheetViews>
    <sheetView workbookViewId="0">
      <selection activeCell="M27" sqref="M27"/>
    </sheetView>
  </sheetViews>
  <sheetFormatPr defaultRowHeight="15" x14ac:dyDescent="0.25"/>
  <cols>
    <col min="1" max="1" width="6.28515625" style="14" bestFit="1" customWidth="1"/>
    <col min="2" max="2" width="12" style="14" bestFit="1" customWidth="1"/>
    <col min="3" max="3" width="11" style="14" bestFit="1" customWidth="1"/>
    <col min="4" max="4" width="9.140625" style="14"/>
  </cols>
  <sheetData>
    <row r="1" spans="1:4" x14ac:dyDescent="0.25">
      <c r="A1" s="14" t="s">
        <v>103</v>
      </c>
      <c r="B1" s="14" t="s">
        <v>104</v>
      </c>
      <c r="C1" s="14" t="s">
        <v>108</v>
      </c>
      <c r="D1" s="14" t="s">
        <v>105</v>
      </c>
    </row>
    <row r="2" spans="1:4" x14ac:dyDescent="0.25">
      <c r="A2" s="14" t="s">
        <v>106</v>
      </c>
      <c r="B2" s="14" t="s">
        <v>107</v>
      </c>
      <c r="C2" s="14">
        <v>1725651856</v>
      </c>
      <c r="D2" s="14">
        <v>25</v>
      </c>
    </row>
    <row r="3" spans="1:4" x14ac:dyDescent="0.25">
      <c r="A3" s="14" t="s">
        <v>109</v>
      </c>
      <c r="B3" s="14" t="s">
        <v>110</v>
      </c>
      <c r="C3" s="14">
        <v>1537075349</v>
      </c>
      <c r="D3" s="14">
        <v>14</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Button 1">
              <controlPr defaultSize="0" print="0" autoFill="0" autoPict="0" macro="[0]!Enter_Blood_Group_Data">
                <anchor moveWithCells="1" sizeWithCells="1">
                  <from>
                    <xdr:col>4</xdr:col>
                    <xdr:colOff>600075</xdr:colOff>
                    <xdr:row>0</xdr:row>
                    <xdr:rowOff>0</xdr:rowOff>
                  </from>
                  <to>
                    <xdr:col>9</xdr:col>
                    <xdr:colOff>0</xdr:colOff>
                    <xdr:row>4</xdr:row>
                    <xdr:rowOff>19050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8BBED-7632-4967-989E-01BF9B66564E}">
  <sheetPr codeName="Sheet2"/>
  <dimension ref="A1:D25"/>
  <sheetViews>
    <sheetView workbookViewId="0"/>
  </sheetViews>
  <sheetFormatPr defaultRowHeight="15" x14ac:dyDescent="0.25"/>
  <cols>
    <col min="1" max="1" width="16" bestFit="1" customWidth="1"/>
    <col min="2" max="2" width="13.7109375" bestFit="1" customWidth="1"/>
    <col min="3" max="3" width="15.5703125" bestFit="1" customWidth="1"/>
    <col min="4" max="4" width="12.28515625" bestFit="1" customWidth="1"/>
  </cols>
  <sheetData>
    <row r="1" spans="1:4" x14ac:dyDescent="0.25">
      <c r="A1" s="10" t="s">
        <v>19</v>
      </c>
      <c r="B1" t="s">
        <v>21</v>
      </c>
      <c r="C1" t="s">
        <v>22</v>
      </c>
      <c r="D1" t="s">
        <v>23</v>
      </c>
    </row>
    <row r="2" spans="1:4" x14ac:dyDescent="0.25">
      <c r="A2" s="11">
        <v>2017</v>
      </c>
      <c r="B2">
        <v>4</v>
      </c>
      <c r="C2">
        <v>10</v>
      </c>
      <c r="D2">
        <v>700000</v>
      </c>
    </row>
    <row r="3" spans="1:4" x14ac:dyDescent="0.25">
      <c r="A3" s="12" t="s">
        <v>7</v>
      </c>
      <c r="B3">
        <v>1</v>
      </c>
      <c r="C3">
        <v>1</v>
      </c>
      <c r="D3">
        <v>80000</v>
      </c>
    </row>
    <row r="4" spans="1:4" x14ac:dyDescent="0.25">
      <c r="A4" s="12" t="s">
        <v>18</v>
      </c>
      <c r="B4">
        <v>2</v>
      </c>
      <c r="C4">
        <v>8</v>
      </c>
      <c r="D4">
        <v>500000</v>
      </c>
    </row>
    <row r="5" spans="1:4" x14ac:dyDescent="0.25">
      <c r="A5" s="12" t="s">
        <v>17</v>
      </c>
      <c r="B5">
        <v>1</v>
      </c>
      <c r="C5">
        <v>1</v>
      </c>
      <c r="D5">
        <v>120000</v>
      </c>
    </row>
    <row r="6" spans="1:4" x14ac:dyDescent="0.25">
      <c r="A6" s="11">
        <v>2018</v>
      </c>
      <c r="B6">
        <v>4</v>
      </c>
      <c r="C6">
        <v>15</v>
      </c>
      <c r="D6">
        <v>760000</v>
      </c>
    </row>
    <row r="7" spans="1:4" x14ac:dyDescent="0.25">
      <c r="A7" s="12" t="s">
        <v>11</v>
      </c>
      <c r="B7">
        <v>1</v>
      </c>
      <c r="C7">
        <v>2</v>
      </c>
      <c r="D7">
        <v>150000</v>
      </c>
    </row>
    <row r="8" spans="1:4" x14ac:dyDescent="0.25">
      <c r="A8" s="12" t="s">
        <v>13</v>
      </c>
      <c r="B8">
        <v>1</v>
      </c>
      <c r="C8">
        <v>4</v>
      </c>
      <c r="D8">
        <v>350000</v>
      </c>
    </row>
    <row r="9" spans="1:4" x14ac:dyDescent="0.25">
      <c r="A9" s="12" t="s">
        <v>7</v>
      </c>
      <c r="B9">
        <v>1</v>
      </c>
      <c r="C9">
        <v>5</v>
      </c>
      <c r="D9">
        <v>40000</v>
      </c>
    </row>
    <row r="10" spans="1:4" x14ac:dyDescent="0.25">
      <c r="A10" s="12" t="s">
        <v>9</v>
      </c>
      <c r="B10">
        <v>1</v>
      </c>
      <c r="C10">
        <v>4</v>
      </c>
      <c r="D10">
        <v>220000</v>
      </c>
    </row>
    <row r="11" spans="1:4" x14ac:dyDescent="0.25">
      <c r="A11" s="11">
        <v>2019</v>
      </c>
      <c r="B11">
        <v>4</v>
      </c>
      <c r="C11">
        <v>18</v>
      </c>
      <c r="D11">
        <v>275000</v>
      </c>
    </row>
    <row r="12" spans="1:4" x14ac:dyDescent="0.25">
      <c r="A12" s="12" t="s">
        <v>11</v>
      </c>
      <c r="B12">
        <v>1</v>
      </c>
      <c r="C12">
        <v>7</v>
      </c>
      <c r="D12">
        <v>120000</v>
      </c>
    </row>
    <row r="13" spans="1:4" x14ac:dyDescent="0.25">
      <c r="A13" s="12" t="s">
        <v>13</v>
      </c>
      <c r="B13">
        <v>1</v>
      </c>
      <c r="C13">
        <v>3</v>
      </c>
      <c r="D13">
        <v>35000</v>
      </c>
    </row>
    <row r="14" spans="1:4" x14ac:dyDescent="0.25">
      <c r="A14" s="12" t="s">
        <v>7</v>
      </c>
      <c r="B14">
        <v>1</v>
      </c>
      <c r="C14">
        <v>5</v>
      </c>
      <c r="D14">
        <v>85000</v>
      </c>
    </row>
    <row r="15" spans="1:4" x14ac:dyDescent="0.25">
      <c r="A15" s="12" t="s">
        <v>5</v>
      </c>
      <c r="B15">
        <v>1</v>
      </c>
      <c r="C15">
        <v>3</v>
      </c>
      <c r="D15">
        <v>35000</v>
      </c>
    </row>
    <row r="16" spans="1:4" x14ac:dyDescent="0.25">
      <c r="A16" s="11">
        <v>2020</v>
      </c>
      <c r="B16">
        <v>4</v>
      </c>
      <c r="C16">
        <v>17</v>
      </c>
      <c r="D16">
        <v>785000</v>
      </c>
    </row>
    <row r="17" spans="1:4" x14ac:dyDescent="0.25">
      <c r="A17" s="12" t="s">
        <v>11</v>
      </c>
      <c r="B17">
        <v>1</v>
      </c>
      <c r="C17">
        <v>4</v>
      </c>
      <c r="D17">
        <v>85000</v>
      </c>
    </row>
    <row r="18" spans="1:4" x14ac:dyDescent="0.25">
      <c r="A18" s="12" t="s">
        <v>15</v>
      </c>
      <c r="B18">
        <v>2</v>
      </c>
      <c r="C18">
        <v>7</v>
      </c>
      <c r="D18">
        <v>550000</v>
      </c>
    </row>
    <row r="19" spans="1:4" x14ac:dyDescent="0.25">
      <c r="A19" s="12" t="s">
        <v>9</v>
      </c>
      <c r="B19">
        <v>1</v>
      </c>
      <c r="C19">
        <v>6</v>
      </c>
      <c r="D19">
        <v>150000</v>
      </c>
    </row>
    <row r="20" spans="1:4" x14ac:dyDescent="0.25">
      <c r="A20" s="11">
        <v>2021</v>
      </c>
      <c r="B20">
        <v>4</v>
      </c>
      <c r="C20">
        <v>13</v>
      </c>
      <c r="D20">
        <v>695000</v>
      </c>
    </row>
    <row r="21" spans="1:4" x14ac:dyDescent="0.25">
      <c r="A21" s="12" t="s">
        <v>15</v>
      </c>
      <c r="B21">
        <v>1</v>
      </c>
      <c r="C21">
        <v>5</v>
      </c>
      <c r="D21">
        <v>125000</v>
      </c>
    </row>
    <row r="22" spans="1:4" x14ac:dyDescent="0.25">
      <c r="A22" s="12" t="s">
        <v>13</v>
      </c>
      <c r="B22">
        <v>1</v>
      </c>
      <c r="C22">
        <v>2</v>
      </c>
      <c r="D22">
        <v>50000</v>
      </c>
    </row>
    <row r="23" spans="1:4" x14ac:dyDescent="0.25">
      <c r="A23" s="12" t="s">
        <v>18</v>
      </c>
      <c r="B23">
        <v>1</v>
      </c>
      <c r="C23">
        <v>2</v>
      </c>
      <c r="D23">
        <v>350000</v>
      </c>
    </row>
    <row r="24" spans="1:4" x14ac:dyDescent="0.25">
      <c r="A24" s="12" t="s">
        <v>17</v>
      </c>
      <c r="B24">
        <v>1</v>
      </c>
      <c r="C24">
        <v>4</v>
      </c>
      <c r="D24">
        <v>170000</v>
      </c>
    </row>
    <row r="25" spans="1:4" x14ac:dyDescent="0.25">
      <c r="A25" s="11" t="s">
        <v>20</v>
      </c>
      <c r="B25">
        <v>20</v>
      </c>
      <c r="C25">
        <v>73</v>
      </c>
      <c r="D25">
        <v>3215000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1BB9C-846D-4874-ACEC-81F8BDCFFA3C}">
  <sheetPr codeName="Sheet3"/>
  <dimension ref="A1"/>
  <sheetViews>
    <sheetView workbookViewId="0">
      <selection activeCell="Q24" sqref="Q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392F4-D369-4FBF-A7C7-F01FFBAFA1BC}">
  <sheetPr codeName="Sheet10"/>
  <dimension ref="A1:B16"/>
  <sheetViews>
    <sheetView workbookViewId="0">
      <selection activeCell="E8" sqref="E8"/>
    </sheetView>
  </sheetViews>
  <sheetFormatPr defaultRowHeight="15" x14ac:dyDescent="0.25"/>
  <cols>
    <col min="1" max="1" width="20" style="30" customWidth="1"/>
    <col min="2" max="2" width="55.28515625" style="32" customWidth="1"/>
    <col min="3" max="16384" width="9.140625" style="29"/>
  </cols>
  <sheetData>
    <row r="1" spans="1:2" x14ac:dyDescent="0.25">
      <c r="A1" s="27" t="s">
        <v>162</v>
      </c>
      <c r="B1" s="28" t="s">
        <v>178</v>
      </c>
    </row>
    <row r="2" spans="1:2" x14ac:dyDescent="0.25">
      <c r="A2" s="30" t="s">
        <v>163</v>
      </c>
      <c r="B2" s="31">
        <v>0.82</v>
      </c>
    </row>
    <row r="3" spans="1:2" x14ac:dyDescent="0.25">
      <c r="A3" s="30" t="s">
        <v>164</v>
      </c>
      <c r="B3" s="31">
        <v>0.65</v>
      </c>
    </row>
    <row r="4" spans="1:2" x14ac:dyDescent="0.25">
      <c r="A4" s="30" t="s">
        <v>165</v>
      </c>
      <c r="B4" s="31">
        <v>0.9</v>
      </c>
    </row>
    <row r="5" spans="1:2" x14ac:dyDescent="0.25">
      <c r="A5" s="30" t="s">
        <v>166</v>
      </c>
      <c r="B5" s="31">
        <v>0.76</v>
      </c>
    </row>
    <row r="6" spans="1:2" x14ac:dyDescent="0.25">
      <c r="A6" s="30" t="s">
        <v>167</v>
      </c>
      <c r="B6" s="31">
        <v>0.54</v>
      </c>
    </row>
    <row r="7" spans="1:2" x14ac:dyDescent="0.25">
      <c r="A7" s="30" t="s">
        <v>168</v>
      </c>
      <c r="B7" s="31">
        <v>0.88</v>
      </c>
    </row>
    <row r="8" spans="1:2" x14ac:dyDescent="0.25">
      <c r="A8" s="30" t="s">
        <v>169</v>
      </c>
      <c r="B8" s="31">
        <v>0.43</v>
      </c>
    </row>
    <row r="9" spans="1:2" x14ac:dyDescent="0.25">
      <c r="A9" s="30" t="s">
        <v>170</v>
      </c>
      <c r="B9" s="31">
        <v>0.97</v>
      </c>
    </row>
    <row r="10" spans="1:2" x14ac:dyDescent="0.25">
      <c r="A10" s="30" t="s">
        <v>171</v>
      </c>
      <c r="B10" s="31">
        <v>0.6</v>
      </c>
    </row>
    <row r="11" spans="1:2" x14ac:dyDescent="0.25">
      <c r="A11" s="30" t="s">
        <v>172</v>
      </c>
      <c r="B11" s="31">
        <v>0.71</v>
      </c>
    </row>
    <row r="12" spans="1:2" x14ac:dyDescent="0.25">
      <c r="A12" s="30" t="s">
        <v>173</v>
      </c>
      <c r="B12" s="31">
        <v>0.35</v>
      </c>
    </row>
    <row r="13" spans="1:2" x14ac:dyDescent="0.25">
      <c r="A13" s="30" t="s">
        <v>174</v>
      </c>
      <c r="B13" s="31">
        <v>0.92</v>
      </c>
    </row>
    <row r="14" spans="1:2" x14ac:dyDescent="0.25">
      <c r="A14" s="30" t="s">
        <v>175</v>
      </c>
      <c r="B14" s="31">
        <v>0.68</v>
      </c>
    </row>
    <row r="15" spans="1:2" x14ac:dyDescent="0.25">
      <c r="A15" s="30" t="s">
        <v>176</v>
      </c>
      <c r="B15" s="31">
        <v>0.8</v>
      </c>
    </row>
    <row r="16" spans="1:2" x14ac:dyDescent="0.25">
      <c r="A16" s="30" t="s">
        <v>177</v>
      </c>
      <c r="B16" s="31">
        <v>0.59</v>
      </c>
    </row>
  </sheetData>
  <conditionalFormatting sqref="B1">
    <cfRule type="dataBar" priority="2">
      <dataBar>
        <cfvo type="num" val="0"/>
        <cfvo type="num" val="1"/>
        <color rgb="FF638EC6"/>
      </dataBar>
      <extLst>
        <ext xmlns:x14="http://schemas.microsoft.com/office/spreadsheetml/2009/9/main" uri="{B025F937-C7B1-47D3-B67F-A62EFF666E3E}">
          <x14:id>{F69C6B67-8A6B-4E0F-9B34-7377742D9806}</x14:id>
        </ext>
      </extLst>
    </cfRule>
  </conditionalFormatting>
  <conditionalFormatting sqref="B1:B1048576">
    <cfRule type="dataBar" priority="1">
      <dataBar>
        <cfvo type="num" val="0"/>
        <cfvo type="num" val="1"/>
        <color rgb="FF638EC6"/>
      </dataBar>
      <extLst>
        <ext xmlns:x14="http://schemas.microsoft.com/office/spreadsheetml/2009/9/main" uri="{B025F937-C7B1-47D3-B67F-A62EFF666E3E}">
          <x14:id>{9736CA0E-51E8-4CA9-95DC-5951F602C389}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69C6B67-8A6B-4E0F-9B34-7377742D9806}">
            <x14:dataBar minLength="0" maxLength="100" gradient="0">
              <x14:cfvo type="num">
                <xm:f>0</xm:f>
              </x14:cfvo>
              <x14:cfvo type="num">
                <xm:f>1</xm:f>
              </x14:cfvo>
              <x14:negativeFillColor rgb="FFFF0000"/>
              <x14:axisColor rgb="FF000000"/>
            </x14:dataBar>
          </x14:cfRule>
          <xm:sqref>B1</xm:sqref>
        </x14:conditionalFormatting>
        <x14:conditionalFormatting xmlns:xm="http://schemas.microsoft.com/office/excel/2006/main">
          <x14:cfRule type="dataBar" id="{9736CA0E-51E8-4CA9-95DC-5951F602C389}">
            <x14:dataBar minLength="0" maxLength="100" gradient="0">
              <x14:cfvo type="num">
                <xm:f>0</xm:f>
              </x14:cfvo>
              <x14:cfvo type="num">
                <xm:f>1</xm:f>
              </x14:cfvo>
              <x14:negativeFillColor rgb="FFFF0000"/>
              <x14:axisColor rgb="FF000000"/>
            </x14:dataBar>
          </x14:cfRule>
          <xm:sqref>B1:B1048576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6DBA-6023-4C55-9279-8951FBB3267D}">
  <sheetPr codeName="Sheet1"/>
  <dimension ref="A1:E21"/>
  <sheetViews>
    <sheetView workbookViewId="0">
      <selection activeCell="I31" sqref="I31"/>
    </sheetView>
  </sheetViews>
  <sheetFormatPr defaultRowHeight="15" x14ac:dyDescent="0.25"/>
  <sheetData>
    <row r="1" spans="1:5" x14ac:dyDescent="0.25">
      <c r="A1" s="1" t="s">
        <v>0</v>
      </c>
      <c r="B1" s="2" t="s">
        <v>1</v>
      </c>
      <c r="C1" s="2" t="s">
        <v>2</v>
      </c>
      <c r="D1" s="2" t="s">
        <v>3</v>
      </c>
      <c r="E1" s="3" t="s">
        <v>4</v>
      </c>
    </row>
    <row r="2" spans="1:5" x14ac:dyDescent="0.25">
      <c r="A2" s="4">
        <v>2019</v>
      </c>
      <c r="B2" s="5" t="s">
        <v>5</v>
      </c>
      <c r="C2" s="5" t="s">
        <v>6</v>
      </c>
      <c r="D2" s="5">
        <v>3</v>
      </c>
      <c r="E2" s="6">
        <v>35000</v>
      </c>
    </row>
    <row r="3" spans="1:5" x14ac:dyDescent="0.25">
      <c r="A3" s="4">
        <v>2019</v>
      </c>
      <c r="B3" s="5" t="s">
        <v>7</v>
      </c>
      <c r="C3" s="5" t="s">
        <v>8</v>
      </c>
      <c r="D3" s="5">
        <v>5</v>
      </c>
      <c r="E3" s="6">
        <v>85000</v>
      </c>
    </row>
    <row r="4" spans="1:5" x14ac:dyDescent="0.25">
      <c r="A4" s="4">
        <v>2020</v>
      </c>
      <c r="B4" s="5" t="s">
        <v>9</v>
      </c>
      <c r="C4" s="5" t="s">
        <v>10</v>
      </c>
      <c r="D4" s="5">
        <v>6</v>
      </c>
      <c r="E4" s="6">
        <v>150000</v>
      </c>
    </row>
    <row r="5" spans="1:5" x14ac:dyDescent="0.25">
      <c r="A5" s="4">
        <v>2020</v>
      </c>
      <c r="B5" s="5" t="s">
        <v>11</v>
      </c>
      <c r="C5" s="5" t="s">
        <v>12</v>
      </c>
      <c r="D5" s="5">
        <v>4</v>
      </c>
      <c r="E5" s="6">
        <v>85000</v>
      </c>
    </row>
    <row r="6" spans="1:5" x14ac:dyDescent="0.25">
      <c r="A6" s="4">
        <v>2021</v>
      </c>
      <c r="B6" s="5" t="s">
        <v>13</v>
      </c>
      <c r="C6" s="5" t="s">
        <v>14</v>
      </c>
      <c r="D6" s="5">
        <v>2</v>
      </c>
      <c r="E6" s="6">
        <v>50000</v>
      </c>
    </row>
    <row r="7" spans="1:5" x14ac:dyDescent="0.25">
      <c r="A7" s="4">
        <v>2021</v>
      </c>
      <c r="B7" s="5" t="s">
        <v>15</v>
      </c>
      <c r="C7" s="5" t="s">
        <v>16</v>
      </c>
      <c r="D7" s="5">
        <v>5</v>
      </c>
      <c r="E7" s="6">
        <v>125000</v>
      </c>
    </row>
    <row r="8" spans="1:5" x14ac:dyDescent="0.25">
      <c r="A8" s="4">
        <v>2017</v>
      </c>
      <c r="B8" s="5" t="s">
        <v>17</v>
      </c>
      <c r="C8" s="5" t="s">
        <v>12</v>
      </c>
      <c r="D8" s="5">
        <v>1</v>
      </c>
      <c r="E8" s="6">
        <v>120000</v>
      </c>
    </row>
    <row r="9" spans="1:5" x14ac:dyDescent="0.25">
      <c r="A9" s="4">
        <v>2017</v>
      </c>
      <c r="B9" s="5" t="s">
        <v>18</v>
      </c>
      <c r="C9" s="5" t="s">
        <v>16</v>
      </c>
      <c r="D9" s="5">
        <v>4</v>
      </c>
      <c r="E9" s="6">
        <v>250000</v>
      </c>
    </row>
    <row r="10" spans="1:5" x14ac:dyDescent="0.25">
      <c r="A10" s="4">
        <v>2018</v>
      </c>
      <c r="B10" s="5" t="s">
        <v>7</v>
      </c>
      <c r="C10" s="5" t="s">
        <v>6</v>
      </c>
      <c r="D10" s="5">
        <v>5</v>
      </c>
      <c r="E10" s="6">
        <v>40000</v>
      </c>
    </row>
    <row r="11" spans="1:5" x14ac:dyDescent="0.25">
      <c r="A11" s="4">
        <v>2018</v>
      </c>
      <c r="B11" s="5" t="s">
        <v>9</v>
      </c>
      <c r="C11" s="5" t="s">
        <v>12</v>
      </c>
      <c r="D11" s="5">
        <v>4</v>
      </c>
      <c r="E11" s="6">
        <v>220000</v>
      </c>
    </row>
    <row r="12" spans="1:5" x14ac:dyDescent="0.25">
      <c r="A12" s="4">
        <v>2019</v>
      </c>
      <c r="B12" s="5" t="s">
        <v>11</v>
      </c>
      <c r="C12" s="5" t="s">
        <v>16</v>
      </c>
      <c r="D12" s="5">
        <v>7</v>
      </c>
      <c r="E12" s="6">
        <v>120000</v>
      </c>
    </row>
    <row r="13" spans="1:5" x14ac:dyDescent="0.25">
      <c r="A13" s="4">
        <v>2019</v>
      </c>
      <c r="B13" s="5" t="s">
        <v>13</v>
      </c>
      <c r="C13" s="5" t="s">
        <v>8</v>
      </c>
      <c r="D13" s="5">
        <v>3</v>
      </c>
      <c r="E13" s="6">
        <v>35000</v>
      </c>
    </row>
    <row r="14" spans="1:5" x14ac:dyDescent="0.25">
      <c r="A14" s="4">
        <v>2020</v>
      </c>
      <c r="B14" s="5" t="s">
        <v>15</v>
      </c>
      <c r="C14" s="5" t="s">
        <v>16</v>
      </c>
      <c r="D14" s="5">
        <v>4</v>
      </c>
      <c r="E14" s="6">
        <v>300000</v>
      </c>
    </row>
    <row r="15" spans="1:5" x14ac:dyDescent="0.25">
      <c r="A15" s="4">
        <v>2020</v>
      </c>
      <c r="B15" s="5" t="s">
        <v>15</v>
      </c>
      <c r="C15" s="5" t="s">
        <v>16</v>
      </c>
      <c r="D15" s="5">
        <v>3</v>
      </c>
      <c r="E15" s="6">
        <v>250000</v>
      </c>
    </row>
    <row r="16" spans="1:5" x14ac:dyDescent="0.25">
      <c r="A16" s="4">
        <v>2021</v>
      </c>
      <c r="B16" s="5" t="s">
        <v>17</v>
      </c>
      <c r="C16" s="5" t="s">
        <v>16</v>
      </c>
      <c r="D16" s="5">
        <v>4</v>
      </c>
      <c r="E16" s="6">
        <v>170000</v>
      </c>
    </row>
    <row r="17" spans="1:5" x14ac:dyDescent="0.25">
      <c r="A17" s="4">
        <v>2021</v>
      </c>
      <c r="B17" s="5" t="s">
        <v>18</v>
      </c>
      <c r="C17" s="5" t="s">
        <v>14</v>
      </c>
      <c r="D17" s="5">
        <v>2</v>
      </c>
      <c r="E17" s="6">
        <v>350000</v>
      </c>
    </row>
    <row r="18" spans="1:5" x14ac:dyDescent="0.25">
      <c r="A18" s="4">
        <v>2017</v>
      </c>
      <c r="B18" s="5" t="s">
        <v>7</v>
      </c>
      <c r="C18" s="5" t="s">
        <v>14</v>
      </c>
      <c r="D18" s="5">
        <v>1</v>
      </c>
      <c r="E18" s="6">
        <v>80000</v>
      </c>
    </row>
    <row r="19" spans="1:5" x14ac:dyDescent="0.25">
      <c r="A19" s="4">
        <v>2017</v>
      </c>
      <c r="B19" s="5" t="s">
        <v>18</v>
      </c>
      <c r="C19" s="5" t="s">
        <v>14</v>
      </c>
      <c r="D19" s="5">
        <v>4</v>
      </c>
      <c r="E19" s="6">
        <v>250000</v>
      </c>
    </row>
    <row r="20" spans="1:5" x14ac:dyDescent="0.25">
      <c r="A20" s="4">
        <v>2018</v>
      </c>
      <c r="B20" s="5" t="s">
        <v>11</v>
      </c>
      <c r="C20" s="5" t="s">
        <v>14</v>
      </c>
      <c r="D20" s="5">
        <v>2</v>
      </c>
      <c r="E20" s="6">
        <v>150000</v>
      </c>
    </row>
    <row r="21" spans="1:5" x14ac:dyDescent="0.25">
      <c r="A21" s="7">
        <v>2018</v>
      </c>
      <c r="B21" s="8" t="s">
        <v>13</v>
      </c>
      <c r="C21" s="8" t="s">
        <v>12</v>
      </c>
      <c r="D21" s="8">
        <v>4</v>
      </c>
      <c r="E21" s="9">
        <v>350000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F396-6145-4EAF-B8A2-8A4DE9250D96}">
  <sheetPr codeName="Sheet11"/>
  <dimension ref="A1:G641"/>
  <sheetViews>
    <sheetView workbookViewId="0">
      <selection activeCell="J28" sqref="J28"/>
    </sheetView>
  </sheetViews>
  <sheetFormatPr defaultRowHeight="15" x14ac:dyDescent="0.25"/>
  <cols>
    <col min="1" max="1" width="5" style="23" bestFit="1" customWidth="1"/>
    <col min="2" max="2" width="12.140625" style="23" bestFit="1" customWidth="1"/>
    <col min="3" max="3" width="18" style="23" bestFit="1" customWidth="1"/>
    <col min="4" max="4" width="13.140625" style="23" bestFit="1" customWidth="1"/>
    <col min="5" max="5" width="12.42578125" style="23" bestFit="1" customWidth="1"/>
    <col min="6" max="6" width="13.42578125" style="23" bestFit="1" customWidth="1"/>
    <col min="7" max="7" width="16" style="23" bestFit="1" customWidth="1"/>
    <col min="8" max="16384" width="9.140625" style="23"/>
  </cols>
  <sheetData>
    <row r="1" spans="1:7" x14ac:dyDescent="0.25">
      <c r="A1" s="23" t="s">
        <v>0</v>
      </c>
      <c r="B1" s="23" t="s">
        <v>183</v>
      </c>
      <c r="C1" s="23" t="s">
        <v>184</v>
      </c>
      <c r="D1" s="23" t="s">
        <v>185</v>
      </c>
      <c r="E1" s="23" t="s">
        <v>186</v>
      </c>
      <c r="F1" s="23" t="s">
        <v>179</v>
      </c>
      <c r="G1" s="23" t="s">
        <v>180</v>
      </c>
    </row>
    <row r="2" spans="1:7" x14ac:dyDescent="0.25">
      <c r="A2" s="23">
        <v>2020</v>
      </c>
      <c r="B2" s="23" t="s">
        <v>187</v>
      </c>
      <c r="C2" s="23" t="s">
        <v>181</v>
      </c>
      <c r="D2" s="23" t="s">
        <v>188</v>
      </c>
      <c r="E2" s="23">
        <v>113</v>
      </c>
      <c r="F2" s="23">
        <v>10</v>
      </c>
      <c r="G2" s="23">
        <v>123</v>
      </c>
    </row>
    <row r="3" spans="1:7" x14ac:dyDescent="0.25">
      <c r="A3" s="23">
        <v>2020</v>
      </c>
      <c r="B3" s="23" t="s">
        <v>187</v>
      </c>
      <c r="C3" s="23" t="s">
        <v>181</v>
      </c>
      <c r="D3" s="23" t="s">
        <v>190</v>
      </c>
      <c r="E3" s="23">
        <v>57</v>
      </c>
      <c r="F3" s="23">
        <v>67</v>
      </c>
      <c r="G3" s="23">
        <v>124</v>
      </c>
    </row>
    <row r="4" spans="1:7" x14ac:dyDescent="0.25">
      <c r="A4" s="23">
        <v>2020</v>
      </c>
      <c r="B4" s="23" t="s">
        <v>187</v>
      </c>
      <c r="C4" s="23" t="s">
        <v>182</v>
      </c>
      <c r="D4" s="23" t="s">
        <v>188</v>
      </c>
      <c r="E4" s="23">
        <v>161</v>
      </c>
      <c r="F4" s="23">
        <v>55</v>
      </c>
      <c r="G4" s="23">
        <v>216</v>
      </c>
    </row>
    <row r="5" spans="1:7" x14ac:dyDescent="0.25">
      <c r="A5" s="23">
        <v>2020</v>
      </c>
      <c r="B5" s="23" t="s">
        <v>187</v>
      </c>
      <c r="C5" s="23" t="s">
        <v>182</v>
      </c>
      <c r="D5" s="23" t="s">
        <v>190</v>
      </c>
      <c r="E5" s="23">
        <v>113</v>
      </c>
      <c r="F5" s="23">
        <v>72</v>
      </c>
      <c r="G5" s="23">
        <v>185</v>
      </c>
    </row>
    <row r="6" spans="1:7" x14ac:dyDescent="0.25">
      <c r="A6" s="23">
        <v>2020</v>
      </c>
      <c r="B6" s="23" t="s">
        <v>187</v>
      </c>
      <c r="C6" s="23" t="s">
        <v>197</v>
      </c>
      <c r="D6" s="23" t="s">
        <v>188</v>
      </c>
      <c r="E6" s="23">
        <v>93</v>
      </c>
      <c r="F6" s="23">
        <v>25</v>
      </c>
      <c r="G6" s="23">
        <v>118</v>
      </c>
    </row>
    <row r="7" spans="1:7" x14ac:dyDescent="0.25">
      <c r="A7" s="23">
        <v>2020</v>
      </c>
      <c r="B7" s="23" t="s">
        <v>187</v>
      </c>
      <c r="C7" s="23" t="s">
        <v>197</v>
      </c>
      <c r="D7" s="23" t="s">
        <v>190</v>
      </c>
      <c r="E7" s="23">
        <v>110</v>
      </c>
      <c r="F7" s="23">
        <v>102</v>
      </c>
      <c r="G7" s="23">
        <v>212</v>
      </c>
    </row>
    <row r="8" spans="1:7" x14ac:dyDescent="0.25">
      <c r="A8" s="23">
        <v>2020</v>
      </c>
      <c r="B8" s="23" t="s">
        <v>187</v>
      </c>
      <c r="C8" s="23" t="s">
        <v>198</v>
      </c>
      <c r="D8" s="23" t="s">
        <v>188</v>
      </c>
      <c r="E8" s="23">
        <v>252</v>
      </c>
      <c r="F8" s="23">
        <v>78</v>
      </c>
      <c r="G8" s="23">
        <v>330</v>
      </c>
    </row>
    <row r="9" spans="1:7" x14ac:dyDescent="0.25">
      <c r="A9" s="23">
        <v>2020</v>
      </c>
      <c r="B9" s="23" t="s">
        <v>187</v>
      </c>
      <c r="C9" s="23" t="s">
        <v>198</v>
      </c>
      <c r="D9" s="23" t="s">
        <v>190</v>
      </c>
      <c r="E9" s="23">
        <v>125</v>
      </c>
      <c r="F9" s="23">
        <v>88</v>
      </c>
      <c r="G9" s="23">
        <v>213</v>
      </c>
    </row>
    <row r="10" spans="1:7" x14ac:dyDescent="0.25">
      <c r="A10" s="23">
        <v>2020</v>
      </c>
      <c r="B10" s="23" t="s">
        <v>187</v>
      </c>
      <c r="C10" s="23" t="s">
        <v>199</v>
      </c>
      <c r="D10" s="23" t="s">
        <v>188</v>
      </c>
      <c r="E10" s="23">
        <v>191</v>
      </c>
      <c r="F10" s="23">
        <v>24</v>
      </c>
      <c r="G10" s="23">
        <v>215</v>
      </c>
    </row>
    <row r="11" spans="1:7" x14ac:dyDescent="0.25">
      <c r="A11" s="23">
        <v>2020</v>
      </c>
      <c r="B11" s="23" t="s">
        <v>187</v>
      </c>
      <c r="C11" s="23" t="s">
        <v>199</v>
      </c>
      <c r="D11" s="23" t="s">
        <v>190</v>
      </c>
      <c r="E11" s="23">
        <v>238</v>
      </c>
      <c r="F11" s="23">
        <v>52</v>
      </c>
      <c r="G11" s="23">
        <v>290</v>
      </c>
    </row>
    <row r="12" spans="1:7" x14ac:dyDescent="0.25">
      <c r="A12" s="23">
        <v>2020</v>
      </c>
      <c r="B12" s="23" t="s">
        <v>187</v>
      </c>
      <c r="C12" s="23" t="s">
        <v>200</v>
      </c>
      <c r="D12" s="23" t="s">
        <v>188</v>
      </c>
      <c r="E12" s="23">
        <v>202</v>
      </c>
      <c r="F12" s="23">
        <v>43</v>
      </c>
      <c r="G12" s="23">
        <v>245</v>
      </c>
    </row>
    <row r="13" spans="1:7" x14ac:dyDescent="0.25">
      <c r="A13" s="23">
        <v>2020</v>
      </c>
      <c r="B13" s="23" t="s">
        <v>187</v>
      </c>
      <c r="C13" s="23" t="s">
        <v>200</v>
      </c>
      <c r="D13" s="23" t="s">
        <v>190</v>
      </c>
      <c r="E13" s="23">
        <v>222</v>
      </c>
      <c r="F13" s="23">
        <v>74</v>
      </c>
      <c r="G13" s="23">
        <v>296</v>
      </c>
    </row>
    <row r="14" spans="1:7" x14ac:dyDescent="0.25">
      <c r="A14" s="23">
        <v>2020</v>
      </c>
      <c r="B14" s="23" t="s">
        <v>187</v>
      </c>
      <c r="C14" s="23" t="s">
        <v>201</v>
      </c>
      <c r="D14" s="23" t="s">
        <v>188</v>
      </c>
      <c r="E14" s="23">
        <v>59</v>
      </c>
      <c r="F14" s="23">
        <v>35</v>
      </c>
      <c r="G14" s="23">
        <v>94</v>
      </c>
    </row>
    <row r="15" spans="1:7" x14ac:dyDescent="0.25">
      <c r="A15" s="23">
        <v>2020</v>
      </c>
      <c r="B15" s="23" t="s">
        <v>187</v>
      </c>
      <c r="C15" s="23" t="s">
        <v>201</v>
      </c>
      <c r="D15" s="23" t="s">
        <v>190</v>
      </c>
      <c r="E15" s="23">
        <v>160</v>
      </c>
      <c r="F15" s="23">
        <v>45</v>
      </c>
      <c r="G15" s="23">
        <v>205</v>
      </c>
    </row>
    <row r="16" spans="1:7" x14ac:dyDescent="0.25">
      <c r="A16" s="23">
        <v>2020</v>
      </c>
      <c r="B16" s="23" t="s">
        <v>187</v>
      </c>
      <c r="C16" s="23" t="s">
        <v>202</v>
      </c>
      <c r="D16" s="23" t="s">
        <v>188</v>
      </c>
      <c r="E16" s="23">
        <v>227</v>
      </c>
      <c r="F16" s="23">
        <v>100</v>
      </c>
      <c r="G16" s="23">
        <v>327</v>
      </c>
    </row>
    <row r="17" spans="1:7" x14ac:dyDescent="0.25">
      <c r="A17" s="23">
        <v>2020</v>
      </c>
      <c r="B17" s="23" t="s">
        <v>187</v>
      </c>
      <c r="C17" s="23" t="s">
        <v>202</v>
      </c>
      <c r="D17" s="23" t="s">
        <v>190</v>
      </c>
      <c r="E17" s="23">
        <v>135</v>
      </c>
      <c r="F17" s="23">
        <v>39</v>
      </c>
      <c r="G17" s="23">
        <v>174</v>
      </c>
    </row>
    <row r="18" spans="1:7" x14ac:dyDescent="0.25">
      <c r="A18" s="23">
        <v>2020</v>
      </c>
      <c r="B18" s="23" t="s">
        <v>189</v>
      </c>
      <c r="C18" s="23" t="s">
        <v>181</v>
      </c>
      <c r="D18" s="23" t="s">
        <v>188</v>
      </c>
      <c r="E18" s="23">
        <v>233</v>
      </c>
      <c r="F18" s="23">
        <v>61</v>
      </c>
      <c r="G18" s="23">
        <v>294</v>
      </c>
    </row>
    <row r="19" spans="1:7" x14ac:dyDescent="0.25">
      <c r="A19" s="23">
        <v>2020</v>
      </c>
      <c r="B19" s="23" t="s">
        <v>189</v>
      </c>
      <c r="C19" s="23" t="s">
        <v>181</v>
      </c>
      <c r="D19" s="23" t="s">
        <v>190</v>
      </c>
      <c r="E19" s="23">
        <v>59</v>
      </c>
      <c r="F19" s="23">
        <v>86</v>
      </c>
      <c r="G19" s="23">
        <v>145</v>
      </c>
    </row>
    <row r="20" spans="1:7" x14ac:dyDescent="0.25">
      <c r="A20" s="23">
        <v>2020</v>
      </c>
      <c r="B20" s="23" t="s">
        <v>189</v>
      </c>
      <c r="C20" s="23" t="s">
        <v>182</v>
      </c>
      <c r="D20" s="23" t="s">
        <v>188</v>
      </c>
      <c r="E20" s="23">
        <v>115</v>
      </c>
      <c r="F20" s="23">
        <v>73</v>
      </c>
      <c r="G20" s="23">
        <v>188</v>
      </c>
    </row>
    <row r="21" spans="1:7" x14ac:dyDescent="0.25">
      <c r="A21" s="23">
        <v>2020</v>
      </c>
      <c r="B21" s="23" t="s">
        <v>189</v>
      </c>
      <c r="C21" s="23" t="s">
        <v>182</v>
      </c>
      <c r="D21" s="23" t="s">
        <v>190</v>
      </c>
      <c r="E21" s="23">
        <v>160</v>
      </c>
      <c r="F21" s="23">
        <v>57</v>
      </c>
      <c r="G21" s="23">
        <v>217</v>
      </c>
    </row>
    <row r="22" spans="1:7" x14ac:dyDescent="0.25">
      <c r="A22" s="23">
        <v>2020</v>
      </c>
      <c r="B22" s="23" t="s">
        <v>189</v>
      </c>
      <c r="C22" s="23" t="s">
        <v>197</v>
      </c>
      <c r="D22" s="23" t="s">
        <v>188</v>
      </c>
      <c r="E22" s="23">
        <v>56</v>
      </c>
      <c r="F22" s="23">
        <v>81</v>
      </c>
      <c r="G22" s="23">
        <v>137</v>
      </c>
    </row>
    <row r="23" spans="1:7" x14ac:dyDescent="0.25">
      <c r="A23" s="23">
        <v>2020</v>
      </c>
      <c r="B23" s="23" t="s">
        <v>189</v>
      </c>
      <c r="C23" s="23" t="s">
        <v>197</v>
      </c>
      <c r="D23" s="23" t="s">
        <v>190</v>
      </c>
      <c r="E23" s="23">
        <v>157</v>
      </c>
      <c r="F23" s="23">
        <v>50</v>
      </c>
      <c r="G23" s="23">
        <v>207</v>
      </c>
    </row>
    <row r="24" spans="1:7" x14ac:dyDescent="0.25">
      <c r="A24" s="23">
        <v>2020</v>
      </c>
      <c r="B24" s="23" t="s">
        <v>189</v>
      </c>
      <c r="C24" s="23" t="s">
        <v>198</v>
      </c>
      <c r="D24" s="23" t="s">
        <v>188</v>
      </c>
      <c r="E24" s="23">
        <v>239</v>
      </c>
      <c r="F24" s="23">
        <v>62</v>
      </c>
      <c r="G24" s="23">
        <v>301</v>
      </c>
    </row>
    <row r="25" spans="1:7" x14ac:dyDescent="0.25">
      <c r="A25" s="23">
        <v>2020</v>
      </c>
      <c r="B25" s="23" t="s">
        <v>189</v>
      </c>
      <c r="C25" s="23" t="s">
        <v>198</v>
      </c>
      <c r="D25" s="23" t="s">
        <v>190</v>
      </c>
      <c r="E25" s="23">
        <v>110</v>
      </c>
      <c r="F25" s="23">
        <v>50</v>
      </c>
      <c r="G25" s="23">
        <v>160</v>
      </c>
    </row>
    <row r="26" spans="1:7" x14ac:dyDescent="0.25">
      <c r="A26" s="23">
        <v>2020</v>
      </c>
      <c r="B26" s="23" t="s">
        <v>189</v>
      </c>
      <c r="C26" s="23" t="s">
        <v>199</v>
      </c>
      <c r="D26" s="23" t="s">
        <v>188</v>
      </c>
      <c r="E26" s="23">
        <v>143</v>
      </c>
      <c r="F26" s="23">
        <v>70</v>
      </c>
      <c r="G26" s="23">
        <v>213</v>
      </c>
    </row>
    <row r="27" spans="1:7" x14ac:dyDescent="0.25">
      <c r="A27" s="23">
        <v>2020</v>
      </c>
      <c r="B27" s="23" t="s">
        <v>189</v>
      </c>
      <c r="C27" s="23" t="s">
        <v>199</v>
      </c>
      <c r="D27" s="23" t="s">
        <v>190</v>
      </c>
      <c r="E27" s="23">
        <v>65</v>
      </c>
      <c r="F27" s="23">
        <v>56</v>
      </c>
      <c r="G27" s="23">
        <v>121</v>
      </c>
    </row>
    <row r="28" spans="1:7" x14ac:dyDescent="0.25">
      <c r="A28" s="23">
        <v>2020</v>
      </c>
      <c r="B28" s="23" t="s">
        <v>189</v>
      </c>
      <c r="C28" s="23" t="s">
        <v>200</v>
      </c>
      <c r="D28" s="23" t="s">
        <v>188</v>
      </c>
      <c r="E28" s="23">
        <v>187</v>
      </c>
      <c r="F28" s="23">
        <v>30</v>
      </c>
      <c r="G28" s="23">
        <v>217</v>
      </c>
    </row>
    <row r="29" spans="1:7" x14ac:dyDescent="0.25">
      <c r="A29" s="23">
        <v>2020</v>
      </c>
      <c r="B29" s="23" t="s">
        <v>189</v>
      </c>
      <c r="C29" s="23" t="s">
        <v>200</v>
      </c>
      <c r="D29" s="23" t="s">
        <v>190</v>
      </c>
      <c r="E29" s="23">
        <v>158</v>
      </c>
      <c r="F29" s="23">
        <v>72</v>
      </c>
      <c r="G29" s="23">
        <v>230</v>
      </c>
    </row>
    <row r="30" spans="1:7" x14ac:dyDescent="0.25">
      <c r="A30" s="23">
        <v>2020</v>
      </c>
      <c r="B30" s="23" t="s">
        <v>189</v>
      </c>
      <c r="C30" s="23" t="s">
        <v>201</v>
      </c>
      <c r="D30" s="23" t="s">
        <v>188</v>
      </c>
      <c r="E30" s="23">
        <v>132</v>
      </c>
      <c r="F30" s="23">
        <v>29</v>
      </c>
      <c r="G30" s="23">
        <v>161</v>
      </c>
    </row>
    <row r="31" spans="1:7" x14ac:dyDescent="0.25">
      <c r="A31" s="23">
        <v>2020</v>
      </c>
      <c r="B31" s="23" t="s">
        <v>189</v>
      </c>
      <c r="C31" s="23" t="s">
        <v>201</v>
      </c>
      <c r="D31" s="23" t="s">
        <v>190</v>
      </c>
      <c r="E31" s="23">
        <v>87</v>
      </c>
      <c r="F31" s="23">
        <v>71</v>
      </c>
      <c r="G31" s="23">
        <v>158</v>
      </c>
    </row>
    <row r="32" spans="1:7" x14ac:dyDescent="0.25">
      <c r="A32" s="23">
        <v>2020</v>
      </c>
      <c r="B32" s="23" t="s">
        <v>189</v>
      </c>
      <c r="C32" s="23" t="s">
        <v>202</v>
      </c>
      <c r="D32" s="23" t="s">
        <v>188</v>
      </c>
      <c r="E32" s="23">
        <v>156</v>
      </c>
      <c r="F32" s="23">
        <v>30</v>
      </c>
      <c r="G32" s="23">
        <v>186</v>
      </c>
    </row>
    <row r="33" spans="1:7" x14ac:dyDescent="0.25">
      <c r="A33" s="23">
        <v>2020</v>
      </c>
      <c r="B33" s="23" t="s">
        <v>189</v>
      </c>
      <c r="C33" s="23" t="s">
        <v>202</v>
      </c>
      <c r="D33" s="23" t="s">
        <v>190</v>
      </c>
      <c r="E33" s="23">
        <v>221</v>
      </c>
      <c r="F33" s="23">
        <v>80</v>
      </c>
      <c r="G33" s="23">
        <v>301</v>
      </c>
    </row>
    <row r="34" spans="1:7" x14ac:dyDescent="0.25">
      <c r="A34" s="23">
        <v>2020</v>
      </c>
      <c r="B34" s="23" t="s">
        <v>191</v>
      </c>
      <c r="C34" s="23" t="s">
        <v>181</v>
      </c>
      <c r="D34" s="23" t="s">
        <v>188</v>
      </c>
      <c r="E34" s="23">
        <v>243</v>
      </c>
      <c r="F34" s="23">
        <v>50</v>
      </c>
      <c r="G34" s="23">
        <v>293</v>
      </c>
    </row>
    <row r="35" spans="1:7" x14ac:dyDescent="0.25">
      <c r="A35" s="23">
        <v>2020</v>
      </c>
      <c r="B35" s="23" t="s">
        <v>191</v>
      </c>
      <c r="C35" s="23" t="s">
        <v>181</v>
      </c>
      <c r="D35" s="23" t="s">
        <v>190</v>
      </c>
      <c r="E35" s="23">
        <v>206</v>
      </c>
      <c r="F35" s="23">
        <v>15</v>
      </c>
      <c r="G35" s="23">
        <v>221</v>
      </c>
    </row>
    <row r="36" spans="1:7" x14ac:dyDescent="0.25">
      <c r="A36" s="23">
        <v>2020</v>
      </c>
      <c r="B36" s="23" t="s">
        <v>191</v>
      </c>
      <c r="C36" s="23" t="s">
        <v>182</v>
      </c>
      <c r="D36" s="23" t="s">
        <v>188</v>
      </c>
      <c r="E36" s="23">
        <v>54</v>
      </c>
      <c r="F36" s="23">
        <v>87</v>
      </c>
      <c r="G36" s="23">
        <v>141</v>
      </c>
    </row>
    <row r="37" spans="1:7" x14ac:dyDescent="0.25">
      <c r="A37" s="23">
        <v>2020</v>
      </c>
      <c r="B37" s="23" t="s">
        <v>191</v>
      </c>
      <c r="C37" s="23" t="s">
        <v>182</v>
      </c>
      <c r="D37" s="23" t="s">
        <v>190</v>
      </c>
      <c r="E37" s="23">
        <v>182</v>
      </c>
      <c r="F37" s="23">
        <v>95</v>
      </c>
      <c r="G37" s="23">
        <v>277</v>
      </c>
    </row>
    <row r="38" spans="1:7" x14ac:dyDescent="0.25">
      <c r="A38" s="23">
        <v>2020</v>
      </c>
      <c r="B38" s="23" t="s">
        <v>191</v>
      </c>
      <c r="C38" s="23" t="s">
        <v>197</v>
      </c>
      <c r="D38" s="23" t="s">
        <v>188</v>
      </c>
      <c r="E38" s="23">
        <v>94</v>
      </c>
      <c r="F38" s="23">
        <v>18</v>
      </c>
      <c r="G38" s="23">
        <v>112</v>
      </c>
    </row>
    <row r="39" spans="1:7" x14ac:dyDescent="0.25">
      <c r="A39" s="23">
        <v>2020</v>
      </c>
      <c r="B39" s="23" t="s">
        <v>191</v>
      </c>
      <c r="C39" s="23" t="s">
        <v>197</v>
      </c>
      <c r="D39" s="23" t="s">
        <v>190</v>
      </c>
      <c r="E39" s="23">
        <v>78</v>
      </c>
      <c r="F39" s="23">
        <v>83</v>
      </c>
      <c r="G39" s="23">
        <v>161</v>
      </c>
    </row>
    <row r="40" spans="1:7" x14ac:dyDescent="0.25">
      <c r="A40" s="23">
        <v>2020</v>
      </c>
      <c r="B40" s="23" t="s">
        <v>191</v>
      </c>
      <c r="C40" s="23" t="s">
        <v>198</v>
      </c>
      <c r="D40" s="23" t="s">
        <v>188</v>
      </c>
      <c r="E40" s="23">
        <v>219</v>
      </c>
      <c r="F40" s="23">
        <v>40</v>
      </c>
      <c r="G40" s="23">
        <v>259</v>
      </c>
    </row>
    <row r="41" spans="1:7" x14ac:dyDescent="0.25">
      <c r="A41" s="23">
        <v>2020</v>
      </c>
      <c r="B41" s="23" t="s">
        <v>191</v>
      </c>
      <c r="C41" s="23" t="s">
        <v>198</v>
      </c>
      <c r="D41" s="23" t="s">
        <v>190</v>
      </c>
      <c r="E41" s="23">
        <v>210</v>
      </c>
      <c r="F41" s="23">
        <v>30</v>
      </c>
      <c r="G41" s="23">
        <v>240</v>
      </c>
    </row>
    <row r="42" spans="1:7" x14ac:dyDescent="0.25">
      <c r="A42" s="23">
        <v>2020</v>
      </c>
      <c r="B42" s="23" t="s">
        <v>191</v>
      </c>
      <c r="C42" s="23" t="s">
        <v>199</v>
      </c>
      <c r="D42" s="23" t="s">
        <v>188</v>
      </c>
      <c r="E42" s="23">
        <v>178</v>
      </c>
      <c r="F42" s="23">
        <v>16</v>
      </c>
      <c r="G42" s="23">
        <v>194</v>
      </c>
    </row>
    <row r="43" spans="1:7" x14ac:dyDescent="0.25">
      <c r="A43" s="23">
        <v>2020</v>
      </c>
      <c r="B43" s="23" t="s">
        <v>191</v>
      </c>
      <c r="C43" s="23" t="s">
        <v>199</v>
      </c>
      <c r="D43" s="23" t="s">
        <v>190</v>
      </c>
      <c r="E43" s="23">
        <v>190</v>
      </c>
      <c r="F43" s="23">
        <v>53</v>
      </c>
      <c r="G43" s="23">
        <v>243</v>
      </c>
    </row>
    <row r="44" spans="1:7" x14ac:dyDescent="0.25">
      <c r="A44" s="23">
        <v>2020</v>
      </c>
      <c r="B44" s="23" t="s">
        <v>191</v>
      </c>
      <c r="C44" s="23" t="s">
        <v>200</v>
      </c>
      <c r="D44" s="23" t="s">
        <v>188</v>
      </c>
      <c r="E44" s="23">
        <v>98</v>
      </c>
      <c r="F44" s="23">
        <v>61</v>
      </c>
      <c r="G44" s="23">
        <v>159</v>
      </c>
    </row>
    <row r="45" spans="1:7" x14ac:dyDescent="0.25">
      <c r="A45" s="23">
        <v>2020</v>
      </c>
      <c r="B45" s="23" t="s">
        <v>191</v>
      </c>
      <c r="C45" s="23" t="s">
        <v>200</v>
      </c>
      <c r="D45" s="23" t="s">
        <v>190</v>
      </c>
      <c r="E45" s="23">
        <v>164</v>
      </c>
      <c r="F45" s="23">
        <v>27</v>
      </c>
      <c r="G45" s="23">
        <v>191</v>
      </c>
    </row>
    <row r="46" spans="1:7" x14ac:dyDescent="0.25">
      <c r="A46" s="23">
        <v>2020</v>
      </c>
      <c r="B46" s="23" t="s">
        <v>191</v>
      </c>
      <c r="C46" s="23" t="s">
        <v>201</v>
      </c>
      <c r="D46" s="23" t="s">
        <v>188</v>
      </c>
      <c r="E46" s="23">
        <v>99</v>
      </c>
      <c r="F46" s="23">
        <v>80</v>
      </c>
      <c r="G46" s="23">
        <v>179</v>
      </c>
    </row>
    <row r="47" spans="1:7" x14ac:dyDescent="0.25">
      <c r="A47" s="23">
        <v>2020</v>
      </c>
      <c r="B47" s="23" t="s">
        <v>191</v>
      </c>
      <c r="C47" s="23" t="s">
        <v>201</v>
      </c>
      <c r="D47" s="23" t="s">
        <v>190</v>
      </c>
      <c r="E47" s="23">
        <v>180</v>
      </c>
      <c r="F47" s="23">
        <v>109</v>
      </c>
      <c r="G47" s="23">
        <v>289</v>
      </c>
    </row>
    <row r="48" spans="1:7" x14ac:dyDescent="0.25">
      <c r="A48" s="23">
        <v>2020</v>
      </c>
      <c r="B48" s="23" t="s">
        <v>191</v>
      </c>
      <c r="C48" s="23" t="s">
        <v>202</v>
      </c>
      <c r="D48" s="23" t="s">
        <v>188</v>
      </c>
      <c r="E48" s="23">
        <v>259</v>
      </c>
      <c r="F48" s="23">
        <v>101</v>
      </c>
      <c r="G48" s="23">
        <v>360</v>
      </c>
    </row>
    <row r="49" spans="1:7" x14ac:dyDescent="0.25">
      <c r="A49" s="23">
        <v>2020</v>
      </c>
      <c r="B49" s="23" t="s">
        <v>191</v>
      </c>
      <c r="C49" s="23" t="s">
        <v>202</v>
      </c>
      <c r="D49" s="23" t="s">
        <v>190</v>
      </c>
      <c r="E49" s="23">
        <v>114</v>
      </c>
      <c r="F49" s="23">
        <v>32</v>
      </c>
      <c r="G49" s="23">
        <v>146</v>
      </c>
    </row>
    <row r="50" spans="1:7" x14ac:dyDescent="0.25">
      <c r="A50" s="23">
        <v>2020</v>
      </c>
      <c r="B50" s="23" t="s">
        <v>193</v>
      </c>
      <c r="C50" s="23" t="s">
        <v>181</v>
      </c>
      <c r="D50" s="23" t="s">
        <v>188</v>
      </c>
      <c r="E50" s="23">
        <v>173</v>
      </c>
      <c r="F50" s="23">
        <v>23</v>
      </c>
      <c r="G50" s="23">
        <v>196</v>
      </c>
    </row>
    <row r="51" spans="1:7" x14ac:dyDescent="0.25">
      <c r="A51" s="23">
        <v>2020</v>
      </c>
      <c r="B51" s="23" t="s">
        <v>193</v>
      </c>
      <c r="C51" s="23" t="s">
        <v>181</v>
      </c>
      <c r="D51" s="23" t="s">
        <v>190</v>
      </c>
      <c r="E51" s="23">
        <v>219</v>
      </c>
      <c r="F51" s="23">
        <v>15</v>
      </c>
      <c r="G51" s="23">
        <v>234</v>
      </c>
    </row>
    <row r="52" spans="1:7" x14ac:dyDescent="0.25">
      <c r="A52" s="23">
        <v>2020</v>
      </c>
      <c r="B52" s="23" t="s">
        <v>193</v>
      </c>
      <c r="C52" s="23" t="s">
        <v>182</v>
      </c>
      <c r="D52" s="23" t="s">
        <v>188</v>
      </c>
      <c r="E52" s="23">
        <v>213</v>
      </c>
      <c r="F52" s="23">
        <v>69</v>
      </c>
      <c r="G52" s="23">
        <v>282</v>
      </c>
    </row>
    <row r="53" spans="1:7" x14ac:dyDescent="0.25">
      <c r="A53" s="23">
        <v>2020</v>
      </c>
      <c r="B53" s="23" t="s">
        <v>193</v>
      </c>
      <c r="C53" s="23" t="s">
        <v>182</v>
      </c>
      <c r="D53" s="23" t="s">
        <v>190</v>
      </c>
      <c r="E53" s="23">
        <v>252</v>
      </c>
      <c r="F53" s="23">
        <v>29</v>
      </c>
      <c r="G53" s="23">
        <v>281</v>
      </c>
    </row>
    <row r="54" spans="1:7" x14ac:dyDescent="0.25">
      <c r="A54" s="23">
        <v>2020</v>
      </c>
      <c r="B54" s="23" t="s">
        <v>193</v>
      </c>
      <c r="C54" s="23" t="s">
        <v>197</v>
      </c>
      <c r="D54" s="23" t="s">
        <v>188</v>
      </c>
      <c r="E54" s="23">
        <v>90</v>
      </c>
      <c r="F54" s="23">
        <v>31</v>
      </c>
      <c r="G54" s="23">
        <v>121</v>
      </c>
    </row>
    <row r="55" spans="1:7" x14ac:dyDescent="0.25">
      <c r="A55" s="23">
        <v>2020</v>
      </c>
      <c r="B55" s="23" t="s">
        <v>193</v>
      </c>
      <c r="C55" s="23" t="s">
        <v>197</v>
      </c>
      <c r="D55" s="23" t="s">
        <v>190</v>
      </c>
      <c r="E55" s="23">
        <v>221</v>
      </c>
      <c r="F55" s="23">
        <v>52</v>
      </c>
      <c r="G55" s="23">
        <v>273</v>
      </c>
    </row>
    <row r="56" spans="1:7" x14ac:dyDescent="0.25">
      <c r="A56" s="23">
        <v>2020</v>
      </c>
      <c r="B56" s="23" t="s">
        <v>193</v>
      </c>
      <c r="C56" s="23" t="s">
        <v>198</v>
      </c>
      <c r="D56" s="23" t="s">
        <v>188</v>
      </c>
      <c r="E56" s="23">
        <v>125</v>
      </c>
      <c r="F56" s="23">
        <v>38</v>
      </c>
      <c r="G56" s="23">
        <v>163</v>
      </c>
    </row>
    <row r="57" spans="1:7" x14ac:dyDescent="0.25">
      <c r="A57" s="23">
        <v>2020</v>
      </c>
      <c r="B57" s="23" t="s">
        <v>193</v>
      </c>
      <c r="C57" s="23" t="s">
        <v>198</v>
      </c>
      <c r="D57" s="23" t="s">
        <v>190</v>
      </c>
      <c r="E57" s="23">
        <v>82</v>
      </c>
      <c r="F57" s="23">
        <v>92</v>
      </c>
      <c r="G57" s="23">
        <v>174</v>
      </c>
    </row>
    <row r="58" spans="1:7" x14ac:dyDescent="0.25">
      <c r="A58" s="23">
        <v>2020</v>
      </c>
      <c r="B58" s="23" t="s">
        <v>193</v>
      </c>
      <c r="C58" s="23" t="s">
        <v>199</v>
      </c>
      <c r="D58" s="23" t="s">
        <v>188</v>
      </c>
      <c r="E58" s="23">
        <v>175</v>
      </c>
      <c r="F58" s="23">
        <v>56</v>
      </c>
      <c r="G58" s="23">
        <v>231</v>
      </c>
    </row>
    <row r="59" spans="1:7" x14ac:dyDescent="0.25">
      <c r="A59" s="23">
        <v>2020</v>
      </c>
      <c r="B59" s="23" t="s">
        <v>193</v>
      </c>
      <c r="C59" s="23" t="s">
        <v>199</v>
      </c>
      <c r="D59" s="23" t="s">
        <v>190</v>
      </c>
      <c r="E59" s="23">
        <v>188</v>
      </c>
      <c r="F59" s="23">
        <v>94</v>
      </c>
      <c r="G59" s="23">
        <v>282</v>
      </c>
    </row>
    <row r="60" spans="1:7" x14ac:dyDescent="0.25">
      <c r="A60" s="23">
        <v>2020</v>
      </c>
      <c r="B60" s="23" t="s">
        <v>193</v>
      </c>
      <c r="C60" s="23" t="s">
        <v>200</v>
      </c>
      <c r="D60" s="23" t="s">
        <v>188</v>
      </c>
      <c r="E60" s="23">
        <v>253</v>
      </c>
      <c r="F60" s="23">
        <v>65</v>
      </c>
      <c r="G60" s="23">
        <v>318</v>
      </c>
    </row>
    <row r="61" spans="1:7" x14ac:dyDescent="0.25">
      <c r="A61" s="23">
        <v>2020</v>
      </c>
      <c r="B61" s="23" t="s">
        <v>193</v>
      </c>
      <c r="C61" s="23" t="s">
        <v>200</v>
      </c>
      <c r="D61" s="23" t="s">
        <v>190</v>
      </c>
      <c r="E61" s="23">
        <v>42</v>
      </c>
      <c r="F61" s="23">
        <v>67</v>
      </c>
      <c r="G61" s="23">
        <v>109</v>
      </c>
    </row>
    <row r="62" spans="1:7" x14ac:dyDescent="0.25">
      <c r="A62" s="23">
        <v>2020</v>
      </c>
      <c r="B62" s="23" t="s">
        <v>193</v>
      </c>
      <c r="C62" s="23" t="s">
        <v>201</v>
      </c>
      <c r="D62" s="23" t="s">
        <v>188</v>
      </c>
      <c r="E62" s="23">
        <v>85</v>
      </c>
      <c r="F62" s="23">
        <v>81</v>
      </c>
      <c r="G62" s="23">
        <v>166</v>
      </c>
    </row>
    <row r="63" spans="1:7" x14ac:dyDescent="0.25">
      <c r="A63" s="23">
        <v>2020</v>
      </c>
      <c r="B63" s="23" t="s">
        <v>193</v>
      </c>
      <c r="C63" s="23" t="s">
        <v>201</v>
      </c>
      <c r="D63" s="23" t="s">
        <v>190</v>
      </c>
      <c r="E63" s="23">
        <v>140</v>
      </c>
      <c r="F63" s="23">
        <v>48</v>
      </c>
      <c r="G63" s="23">
        <v>188</v>
      </c>
    </row>
    <row r="64" spans="1:7" x14ac:dyDescent="0.25">
      <c r="A64" s="23">
        <v>2020</v>
      </c>
      <c r="B64" s="23" t="s">
        <v>193</v>
      </c>
      <c r="C64" s="23" t="s">
        <v>202</v>
      </c>
      <c r="D64" s="23" t="s">
        <v>188</v>
      </c>
      <c r="E64" s="23">
        <v>97</v>
      </c>
      <c r="F64" s="23">
        <v>83</v>
      </c>
      <c r="G64" s="23">
        <v>180</v>
      </c>
    </row>
    <row r="65" spans="1:7" x14ac:dyDescent="0.25">
      <c r="A65" s="23">
        <v>2020</v>
      </c>
      <c r="B65" s="23" t="s">
        <v>193</v>
      </c>
      <c r="C65" s="23" t="s">
        <v>202</v>
      </c>
      <c r="D65" s="23" t="s">
        <v>190</v>
      </c>
      <c r="E65" s="23">
        <v>201</v>
      </c>
      <c r="F65" s="23">
        <v>17</v>
      </c>
      <c r="G65" s="23">
        <v>218</v>
      </c>
    </row>
    <row r="66" spans="1:7" x14ac:dyDescent="0.25">
      <c r="A66" s="23">
        <v>2020</v>
      </c>
      <c r="B66" s="23" t="s">
        <v>192</v>
      </c>
      <c r="C66" s="23" t="s">
        <v>181</v>
      </c>
      <c r="D66" s="23" t="s">
        <v>188</v>
      </c>
      <c r="E66" s="23">
        <v>99</v>
      </c>
      <c r="F66" s="23">
        <v>10</v>
      </c>
      <c r="G66" s="23">
        <v>109</v>
      </c>
    </row>
    <row r="67" spans="1:7" x14ac:dyDescent="0.25">
      <c r="A67" s="23">
        <v>2020</v>
      </c>
      <c r="B67" s="23" t="s">
        <v>192</v>
      </c>
      <c r="C67" s="23" t="s">
        <v>181</v>
      </c>
      <c r="D67" s="23" t="s">
        <v>190</v>
      </c>
      <c r="E67" s="23">
        <v>191</v>
      </c>
      <c r="F67" s="23">
        <v>110</v>
      </c>
      <c r="G67" s="23">
        <v>301</v>
      </c>
    </row>
    <row r="68" spans="1:7" x14ac:dyDescent="0.25">
      <c r="A68" s="23">
        <v>2020</v>
      </c>
      <c r="B68" s="23" t="s">
        <v>192</v>
      </c>
      <c r="C68" s="23" t="s">
        <v>182</v>
      </c>
      <c r="D68" s="23" t="s">
        <v>188</v>
      </c>
      <c r="E68" s="23">
        <v>137</v>
      </c>
      <c r="F68" s="23">
        <v>101</v>
      </c>
      <c r="G68" s="23">
        <v>238</v>
      </c>
    </row>
    <row r="69" spans="1:7" x14ac:dyDescent="0.25">
      <c r="A69" s="23">
        <v>2020</v>
      </c>
      <c r="B69" s="23" t="s">
        <v>192</v>
      </c>
      <c r="C69" s="23" t="s">
        <v>182</v>
      </c>
      <c r="D69" s="23" t="s">
        <v>190</v>
      </c>
      <c r="E69" s="23">
        <v>110</v>
      </c>
      <c r="F69" s="23">
        <v>100</v>
      </c>
      <c r="G69" s="23">
        <v>210</v>
      </c>
    </row>
    <row r="70" spans="1:7" x14ac:dyDescent="0.25">
      <c r="A70" s="23">
        <v>2020</v>
      </c>
      <c r="B70" s="23" t="s">
        <v>192</v>
      </c>
      <c r="C70" s="23" t="s">
        <v>197</v>
      </c>
      <c r="D70" s="23" t="s">
        <v>188</v>
      </c>
      <c r="E70" s="23">
        <v>243</v>
      </c>
      <c r="F70" s="23">
        <v>34</v>
      </c>
      <c r="G70" s="23">
        <v>277</v>
      </c>
    </row>
    <row r="71" spans="1:7" x14ac:dyDescent="0.25">
      <c r="A71" s="23">
        <v>2020</v>
      </c>
      <c r="B71" s="23" t="s">
        <v>192</v>
      </c>
      <c r="C71" s="23" t="s">
        <v>197</v>
      </c>
      <c r="D71" s="23" t="s">
        <v>190</v>
      </c>
      <c r="E71" s="23">
        <v>147</v>
      </c>
      <c r="F71" s="23">
        <v>22</v>
      </c>
      <c r="G71" s="23">
        <v>169</v>
      </c>
    </row>
    <row r="72" spans="1:7" x14ac:dyDescent="0.25">
      <c r="A72" s="23">
        <v>2020</v>
      </c>
      <c r="B72" s="23" t="s">
        <v>192</v>
      </c>
      <c r="C72" s="23" t="s">
        <v>198</v>
      </c>
      <c r="D72" s="23" t="s">
        <v>188</v>
      </c>
      <c r="E72" s="23">
        <v>95</v>
      </c>
      <c r="F72" s="23">
        <v>52</v>
      </c>
      <c r="G72" s="23">
        <v>147</v>
      </c>
    </row>
    <row r="73" spans="1:7" x14ac:dyDescent="0.25">
      <c r="A73" s="23">
        <v>2020</v>
      </c>
      <c r="B73" s="23" t="s">
        <v>192</v>
      </c>
      <c r="C73" s="23" t="s">
        <v>198</v>
      </c>
      <c r="D73" s="23" t="s">
        <v>190</v>
      </c>
      <c r="E73" s="23">
        <v>135</v>
      </c>
      <c r="F73" s="23">
        <v>48</v>
      </c>
      <c r="G73" s="23">
        <v>183</v>
      </c>
    </row>
    <row r="74" spans="1:7" x14ac:dyDescent="0.25">
      <c r="A74" s="23">
        <v>2020</v>
      </c>
      <c r="B74" s="23" t="s">
        <v>192</v>
      </c>
      <c r="C74" s="23" t="s">
        <v>199</v>
      </c>
      <c r="D74" s="23" t="s">
        <v>188</v>
      </c>
      <c r="E74" s="23">
        <v>183</v>
      </c>
      <c r="F74" s="23">
        <v>30</v>
      </c>
      <c r="G74" s="23">
        <v>213</v>
      </c>
    </row>
    <row r="75" spans="1:7" x14ac:dyDescent="0.25">
      <c r="A75" s="23">
        <v>2020</v>
      </c>
      <c r="B75" s="23" t="s">
        <v>192</v>
      </c>
      <c r="C75" s="23" t="s">
        <v>199</v>
      </c>
      <c r="D75" s="23" t="s">
        <v>190</v>
      </c>
      <c r="E75" s="23">
        <v>235</v>
      </c>
      <c r="F75" s="23">
        <v>81</v>
      </c>
      <c r="G75" s="23">
        <v>316</v>
      </c>
    </row>
    <row r="76" spans="1:7" x14ac:dyDescent="0.25">
      <c r="A76" s="23">
        <v>2020</v>
      </c>
      <c r="B76" s="23" t="s">
        <v>192</v>
      </c>
      <c r="C76" s="23" t="s">
        <v>200</v>
      </c>
      <c r="D76" s="23" t="s">
        <v>188</v>
      </c>
      <c r="E76" s="23">
        <v>142</v>
      </c>
      <c r="F76" s="23">
        <v>49</v>
      </c>
      <c r="G76" s="23">
        <v>191</v>
      </c>
    </row>
    <row r="77" spans="1:7" x14ac:dyDescent="0.25">
      <c r="A77" s="23">
        <v>2020</v>
      </c>
      <c r="B77" s="23" t="s">
        <v>192</v>
      </c>
      <c r="C77" s="23" t="s">
        <v>200</v>
      </c>
      <c r="D77" s="23" t="s">
        <v>190</v>
      </c>
      <c r="E77" s="23">
        <v>66</v>
      </c>
      <c r="F77" s="23">
        <v>45</v>
      </c>
      <c r="G77" s="23">
        <v>111</v>
      </c>
    </row>
    <row r="78" spans="1:7" x14ac:dyDescent="0.25">
      <c r="A78" s="23">
        <v>2020</v>
      </c>
      <c r="B78" s="23" t="s">
        <v>192</v>
      </c>
      <c r="C78" s="23" t="s">
        <v>201</v>
      </c>
      <c r="D78" s="23" t="s">
        <v>188</v>
      </c>
      <c r="E78" s="23">
        <v>124</v>
      </c>
      <c r="F78" s="23">
        <v>54</v>
      </c>
      <c r="G78" s="23">
        <v>178</v>
      </c>
    </row>
    <row r="79" spans="1:7" x14ac:dyDescent="0.25">
      <c r="A79" s="23">
        <v>2020</v>
      </c>
      <c r="B79" s="23" t="s">
        <v>192</v>
      </c>
      <c r="C79" s="23" t="s">
        <v>201</v>
      </c>
      <c r="D79" s="23" t="s">
        <v>190</v>
      </c>
      <c r="E79" s="23">
        <v>250</v>
      </c>
      <c r="F79" s="23">
        <v>41</v>
      </c>
      <c r="G79" s="23">
        <v>291</v>
      </c>
    </row>
    <row r="80" spans="1:7" x14ac:dyDescent="0.25">
      <c r="A80" s="23">
        <v>2020</v>
      </c>
      <c r="B80" s="23" t="s">
        <v>192</v>
      </c>
      <c r="C80" s="23" t="s">
        <v>202</v>
      </c>
      <c r="D80" s="23" t="s">
        <v>188</v>
      </c>
      <c r="E80" s="23">
        <v>144</v>
      </c>
      <c r="F80" s="23">
        <v>61</v>
      </c>
      <c r="G80" s="23">
        <v>205</v>
      </c>
    </row>
    <row r="81" spans="1:7" x14ac:dyDescent="0.25">
      <c r="A81" s="23">
        <v>2020</v>
      </c>
      <c r="B81" s="23" t="s">
        <v>192</v>
      </c>
      <c r="C81" s="23" t="s">
        <v>202</v>
      </c>
      <c r="D81" s="23" t="s">
        <v>190</v>
      </c>
      <c r="E81" s="23">
        <v>65</v>
      </c>
      <c r="F81" s="23">
        <v>47</v>
      </c>
      <c r="G81" s="23">
        <v>112</v>
      </c>
    </row>
    <row r="82" spans="1:7" x14ac:dyDescent="0.25">
      <c r="A82" s="23">
        <v>2020</v>
      </c>
      <c r="B82" s="23" t="s">
        <v>196</v>
      </c>
      <c r="C82" s="23" t="s">
        <v>181</v>
      </c>
      <c r="D82" s="23" t="s">
        <v>188</v>
      </c>
      <c r="E82" s="23">
        <v>229</v>
      </c>
      <c r="F82" s="23">
        <v>73</v>
      </c>
      <c r="G82" s="23">
        <v>302</v>
      </c>
    </row>
    <row r="83" spans="1:7" x14ac:dyDescent="0.25">
      <c r="A83" s="23">
        <v>2020</v>
      </c>
      <c r="B83" s="23" t="s">
        <v>196</v>
      </c>
      <c r="C83" s="23" t="s">
        <v>181</v>
      </c>
      <c r="D83" s="23" t="s">
        <v>190</v>
      </c>
      <c r="E83" s="23">
        <v>204</v>
      </c>
      <c r="F83" s="23">
        <v>75</v>
      </c>
      <c r="G83" s="23">
        <v>279</v>
      </c>
    </row>
    <row r="84" spans="1:7" x14ac:dyDescent="0.25">
      <c r="A84" s="23">
        <v>2020</v>
      </c>
      <c r="B84" s="23" t="s">
        <v>196</v>
      </c>
      <c r="C84" s="23" t="s">
        <v>182</v>
      </c>
      <c r="D84" s="23" t="s">
        <v>188</v>
      </c>
      <c r="E84" s="23">
        <v>102</v>
      </c>
      <c r="F84" s="23">
        <v>89</v>
      </c>
      <c r="G84" s="23">
        <v>191</v>
      </c>
    </row>
    <row r="85" spans="1:7" x14ac:dyDescent="0.25">
      <c r="A85" s="23">
        <v>2020</v>
      </c>
      <c r="B85" s="23" t="s">
        <v>196</v>
      </c>
      <c r="C85" s="23" t="s">
        <v>182</v>
      </c>
      <c r="D85" s="23" t="s">
        <v>190</v>
      </c>
      <c r="E85" s="23">
        <v>257</v>
      </c>
      <c r="F85" s="23">
        <v>83</v>
      </c>
      <c r="G85" s="23">
        <v>340</v>
      </c>
    </row>
    <row r="86" spans="1:7" x14ac:dyDescent="0.25">
      <c r="A86" s="23">
        <v>2020</v>
      </c>
      <c r="B86" s="23" t="s">
        <v>196</v>
      </c>
      <c r="C86" s="23" t="s">
        <v>197</v>
      </c>
      <c r="D86" s="23" t="s">
        <v>188</v>
      </c>
      <c r="E86" s="23">
        <v>73</v>
      </c>
      <c r="F86" s="23">
        <v>11</v>
      </c>
      <c r="G86" s="23">
        <v>84</v>
      </c>
    </row>
    <row r="87" spans="1:7" x14ac:dyDescent="0.25">
      <c r="A87" s="23">
        <v>2020</v>
      </c>
      <c r="B87" s="23" t="s">
        <v>196</v>
      </c>
      <c r="C87" s="23" t="s">
        <v>197</v>
      </c>
      <c r="D87" s="23" t="s">
        <v>190</v>
      </c>
      <c r="E87" s="23">
        <v>204</v>
      </c>
      <c r="F87" s="23">
        <v>46</v>
      </c>
      <c r="G87" s="23">
        <v>250</v>
      </c>
    </row>
    <row r="88" spans="1:7" x14ac:dyDescent="0.25">
      <c r="A88" s="23">
        <v>2020</v>
      </c>
      <c r="B88" s="23" t="s">
        <v>196</v>
      </c>
      <c r="C88" s="23" t="s">
        <v>198</v>
      </c>
      <c r="D88" s="23" t="s">
        <v>188</v>
      </c>
      <c r="E88" s="23">
        <v>234</v>
      </c>
      <c r="F88" s="23">
        <v>97</v>
      </c>
      <c r="G88" s="23">
        <v>331</v>
      </c>
    </row>
    <row r="89" spans="1:7" x14ac:dyDescent="0.25">
      <c r="A89" s="23">
        <v>2020</v>
      </c>
      <c r="B89" s="23" t="s">
        <v>196</v>
      </c>
      <c r="C89" s="23" t="s">
        <v>198</v>
      </c>
      <c r="D89" s="23" t="s">
        <v>190</v>
      </c>
      <c r="E89" s="23">
        <v>51</v>
      </c>
      <c r="F89" s="23">
        <v>45</v>
      </c>
      <c r="G89" s="23">
        <v>96</v>
      </c>
    </row>
    <row r="90" spans="1:7" x14ac:dyDescent="0.25">
      <c r="A90" s="23">
        <v>2020</v>
      </c>
      <c r="B90" s="23" t="s">
        <v>196</v>
      </c>
      <c r="C90" s="23" t="s">
        <v>199</v>
      </c>
      <c r="D90" s="23" t="s">
        <v>188</v>
      </c>
      <c r="E90" s="23">
        <v>101</v>
      </c>
      <c r="F90" s="23">
        <v>97</v>
      </c>
      <c r="G90" s="23">
        <v>198</v>
      </c>
    </row>
    <row r="91" spans="1:7" x14ac:dyDescent="0.25">
      <c r="A91" s="23">
        <v>2020</v>
      </c>
      <c r="B91" s="23" t="s">
        <v>196</v>
      </c>
      <c r="C91" s="23" t="s">
        <v>199</v>
      </c>
      <c r="D91" s="23" t="s">
        <v>190</v>
      </c>
      <c r="E91" s="23">
        <v>182</v>
      </c>
      <c r="F91" s="23">
        <v>101</v>
      </c>
      <c r="G91" s="23">
        <v>283</v>
      </c>
    </row>
    <row r="92" spans="1:7" x14ac:dyDescent="0.25">
      <c r="A92" s="23">
        <v>2020</v>
      </c>
      <c r="B92" s="23" t="s">
        <v>196</v>
      </c>
      <c r="C92" s="23" t="s">
        <v>200</v>
      </c>
      <c r="D92" s="23" t="s">
        <v>188</v>
      </c>
      <c r="E92" s="23">
        <v>153</v>
      </c>
      <c r="F92" s="23">
        <v>93</v>
      </c>
      <c r="G92" s="23">
        <v>246</v>
      </c>
    </row>
    <row r="93" spans="1:7" x14ac:dyDescent="0.25">
      <c r="A93" s="23">
        <v>2020</v>
      </c>
      <c r="B93" s="23" t="s">
        <v>196</v>
      </c>
      <c r="C93" s="23" t="s">
        <v>200</v>
      </c>
      <c r="D93" s="23" t="s">
        <v>190</v>
      </c>
      <c r="E93" s="23">
        <v>150</v>
      </c>
      <c r="F93" s="23">
        <v>19</v>
      </c>
      <c r="G93" s="23">
        <v>169</v>
      </c>
    </row>
    <row r="94" spans="1:7" x14ac:dyDescent="0.25">
      <c r="A94" s="23">
        <v>2020</v>
      </c>
      <c r="B94" s="23" t="s">
        <v>196</v>
      </c>
      <c r="C94" s="23" t="s">
        <v>201</v>
      </c>
      <c r="D94" s="23" t="s">
        <v>188</v>
      </c>
      <c r="E94" s="23">
        <v>242</v>
      </c>
      <c r="F94" s="23">
        <v>32</v>
      </c>
      <c r="G94" s="23">
        <v>274</v>
      </c>
    </row>
    <row r="95" spans="1:7" x14ac:dyDescent="0.25">
      <c r="A95" s="23">
        <v>2020</v>
      </c>
      <c r="B95" s="23" t="s">
        <v>196</v>
      </c>
      <c r="C95" s="23" t="s">
        <v>201</v>
      </c>
      <c r="D95" s="23" t="s">
        <v>190</v>
      </c>
      <c r="E95" s="23">
        <v>142</v>
      </c>
      <c r="F95" s="23">
        <v>105</v>
      </c>
      <c r="G95" s="23">
        <v>247</v>
      </c>
    </row>
    <row r="96" spans="1:7" x14ac:dyDescent="0.25">
      <c r="A96" s="23">
        <v>2020</v>
      </c>
      <c r="B96" s="23" t="s">
        <v>196</v>
      </c>
      <c r="C96" s="23" t="s">
        <v>202</v>
      </c>
      <c r="D96" s="23" t="s">
        <v>188</v>
      </c>
      <c r="E96" s="23">
        <v>67</v>
      </c>
      <c r="F96" s="23">
        <v>99</v>
      </c>
      <c r="G96" s="23">
        <v>166</v>
      </c>
    </row>
    <row r="97" spans="1:7" x14ac:dyDescent="0.25">
      <c r="A97" s="23">
        <v>2020</v>
      </c>
      <c r="B97" s="23" t="s">
        <v>196</v>
      </c>
      <c r="C97" s="23" t="s">
        <v>202</v>
      </c>
      <c r="D97" s="23" t="s">
        <v>190</v>
      </c>
      <c r="E97" s="23">
        <v>142</v>
      </c>
      <c r="F97" s="23">
        <v>42</v>
      </c>
      <c r="G97" s="23">
        <v>184</v>
      </c>
    </row>
    <row r="98" spans="1:7" x14ac:dyDescent="0.25">
      <c r="A98" s="23">
        <v>2020</v>
      </c>
      <c r="B98" s="23" t="s">
        <v>194</v>
      </c>
      <c r="C98" s="23" t="s">
        <v>181</v>
      </c>
      <c r="D98" s="23" t="s">
        <v>188</v>
      </c>
      <c r="E98" s="23">
        <v>40</v>
      </c>
      <c r="F98" s="23">
        <v>34</v>
      </c>
      <c r="G98" s="23">
        <v>74</v>
      </c>
    </row>
    <row r="99" spans="1:7" x14ac:dyDescent="0.25">
      <c r="A99" s="23">
        <v>2020</v>
      </c>
      <c r="B99" s="23" t="s">
        <v>194</v>
      </c>
      <c r="C99" s="23" t="s">
        <v>181</v>
      </c>
      <c r="D99" s="23" t="s">
        <v>190</v>
      </c>
      <c r="E99" s="23">
        <v>223</v>
      </c>
      <c r="F99" s="23">
        <v>15</v>
      </c>
      <c r="G99" s="23">
        <v>238</v>
      </c>
    </row>
    <row r="100" spans="1:7" x14ac:dyDescent="0.25">
      <c r="A100" s="23">
        <v>2020</v>
      </c>
      <c r="B100" s="23" t="s">
        <v>194</v>
      </c>
      <c r="C100" s="23" t="s">
        <v>182</v>
      </c>
      <c r="D100" s="23" t="s">
        <v>188</v>
      </c>
      <c r="E100" s="23">
        <v>94</v>
      </c>
      <c r="F100" s="23">
        <v>17</v>
      </c>
      <c r="G100" s="23">
        <v>111</v>
      </c>
    </row>
    <row r="101" spans="1:7" x14ac:dyDescent="0.25">
      <c r="A101" s="23">
        <v>2020</v>
      </c>
      <c r="B101" s="23" t="s">
        <v>194</v>
      </c>
      <c r="C101" s="23" t="s">
        <v>182</v>
      </c>
      <c r="D101" s="23" t="s">
        <v>190</v>
      </c>
      <c r="E101" s="23">
        <v>108</v>
      </c>
      <c r="F101" s="23">
        <v>14</v>
      </c>
      <c r="G101" s="23">
        <v>122</v>
      </c>
    </row>
    <row r="102" spans="1:7" x14ac:dyDescent="0.25">
      <c r="A102" s="23">
        <v>2020</v>
      </c>
      <c r="B102" s="23" t="s">
        <v>194</v>
      </c>
      <c r="C102" s="23" t="s">
        <v>197</v>
      </c>
      <c r="D102" s="23" t="s">
        <v>188</v>
      </c>
      <c r="E102" s="23">
        <v>133</v>
      </c>
      <c r="F102" s="23">
        <v>32</v>
      </c>
      <c r="G102" s="23">
        <v>165</v>
      </c>
    </row>
    <row r="103" spans="1:7" x14ac:dyDescent="0.25">
      <c r="A103" s="23">
        <v>2020</v>
      </c>
      <c r="B103" s="23" t="s">
        <v>194</v>
      </c>
      <c r="C103" s="23" t="s">
        <v>197</v>
      </c>
      <c r="D103" s="23" t="s">
        <v>190</v>
      </c>
      <c r="E103" s="23">
        <v>227</v>
      </c>
      <c r="F103" s="23">
        <v>105</v>
      </c>
      <c r="G103" s="23">
        <v>332</v>
      </c>
    </row>
    <row r="104" spans="1:7" x14ac:dyDescent="0.25">
      <c r="A104" s="23">
        <v>2020</v>
      </c>
      <c r="B104" s="23" t="s">
        <v>194</v>
      </c>
      <c r="C104" s="23" t="s">
        <v>198</v>
      </c>
      <c r="D104" s="23" t="s">
        <v>188</v>
      </c>
      <c r="E104" s="23">
        <v>247</v>
      </c>
      <c r="F104" s="23">
        <v>86</v>
      </c>
      <c r="G104" s="23">
        <v>333</v>
      </c>
    </row>
    <row r="105" spans="1:7" x14ac:dyDescent="0.25">
      <c r="A105" s="23">
        <v>2020</v>
      </c>
      <c r="B105" s="23" t="s">
        <v>194</v>
      </c>
      <c r="C105" s="23" t="s">
        <v>198</v>
      </c>
      <c r="D105" s="23" t="s">
        <v>190</v>
      </c>
      <c r="E105" s="23">
        <v>189</v>
      </c>
      <c r="F105" s="23">
        <v>55</v>
      </c>
      <c r="G105" s="23">
        <v>244</v>
      </c>
    </row>
    <row r="106" spans="1:7" x14ac:dyDescent="0.25">
      <c r="A106" s="23">
        <v>2020</v>
      </c>
      <c r="B106" s="23" t="s">
        <v>194</v>
      </c>
      <c r="C106" s="23" t="s">
        <v>199</v>
      </c>
      <c r="D106" s="23" t="s">
        <v>188</v>
      </c>
      <c r="E106" s="23">
        <v>109</v>
      </c>
      <c r="F106" s="23">
        <v>45</v>
      </c>
      <c r="G106" s="23">
        <v>154</v>
      </c>
    </row>
    <row r="107" spans="1:7" x14ac:dyDescent="0.25">
      <c r="A107" s="23">
        <v>2020</v>
      </c>
      <c r="B107" s="23" t="s">
        <v>194</v>
      </c>
      <c r="C107" s="23" t="s">
        <v>199</v>
      </c>
      <c r="D107" s="23" t="s">
        <v>190</v>
      </c>
      <c r="E107" s="23">
        <v>254</v>
      </c>
      <c r="F107" s="23">
        <v>19</v>
      </c>
      <c r="G107" s="23">
        <v>273</v>
      </c>
    </row>
    <row r="108" spans="1:7" x14ac:dyDescent="0.25">
      <c r="A108" s="23">
        <v>2020</v>
      </c>
      <c r="B108" s="23" t="s">
        <v>194</v>
      </c>
      <c r="C108" s="23" t="s">
        <v>200</v>
      </c>
      <c r="D108" s="23" t="s">
        <v>188</v>
      </c>
      <c r="E108" s="23">
        <v>57</v>
      </c>
      <c r="F108" s="23">
        <v>85</v>
      </c>
      <c r="G108" s="23">
        <v>142</v>
      </c>
    </row>
    <row r="109" spans="1:7" x14ac:dyDescent="0.25">
      <c r="A109" s="23">
        <v>2020</v>
      </c>
      <c r="B109" s="23" t="s">
        <v>194</v>
      </c>
      <c r="C109" s="23" t="s">
        <v>200</v>
      </c>
      <c r="D109" s="23" t="s">
        <v>190</v>
      </c>
      <c r="E109" s="23">
        <v>74</v>
      </c>
      <c r="F109" s="23">
        <v>70</v>
      </c>
      <c r="G109" s="23">
        <v>144</v>
      </c>
    </row>
    <row r="110" spans="1:7" x14ac:dyDescent="0.25">
      <c r="A110" s="23">
        <v>2020</v>
      </c>
      <c r="B110" s="23" t="s">
        <v>194</v>
      </c>
      <c r="C110" s="23" t="s">
        <v>201</v>
      </c>
      <c r="D110" s="23" t="s">
        <v>188</v>
      </c>
      <c r="E110" s="23">
        <v>156</v>
      </c>
      <c r="F110" s="23">
        <v>52</v>
      </c>
      <c r="G110" s="23">
        <v>208</v>
      </c>
    </row>
    <row r="111" spans="1:7" x14ac:dyDescent="0.25">
      <c r="A111" s="23">
        <v>2020</v>
      </c>
      <c r="B111" s="23" t="s">
        <v>194</v>
      </c>
      <c r="C111" s="23" t="s">
        <v>201</v>
      </c>
      <c r="D111" s="23" t="s">
        <v>190</v>
      </c>
      <c r="E111" s="23">
        <v>190</v>
      </c>
      <c r="F111" s="23">
        <v>47</v>
      </c>
      <c r="G111" s="23">
        <v>237</v>
      </c>
    </row>
    <row r="112" spans="1:7" x14ac:dyDescent="0.25">
      <c r="A112" s="23">
        <v>2020</v>
      </c>
      <c r="B112" s="23" t="s">
        <v>194</v>
      </c>
      <c r="C112" s="23" t="s">
        <v>202</v>
      </c>
      <c r="D112" s="23" t="s">
        <v>188</v>
      </c>
      <c r="E112" s="23">
        <v>219</v>
      </c>
      <c r="F112" s="23">
        <v>101</v>
      </c>
      <c r="G112" s="23">
        <v>320</v>
      </c>
    </row>
    <row r="113" spans="1:7" x14ac:dyDescent="0.25">
      <c r="A113" s="23">
        <v>2020</v>
      </c>
      <c r="B113" s="23" t="s">
        <v>194</v>
      </c>
      <c r="C113" s="23" t="s">
        <v>202</v>
      </c>
      <c r="D113" s="23" t="s">
        <v>190</v>
      </c>
      <c r="E113" s="23">
        <v>73</v>
      </c>
      <c r="F113" s="23">
        <v>77</v>
      </c>
      <c r="G113" s="23">
        <v>150</v>
      </c>
    </row>
    <row r="114" spans="1:7" x14ac:dyDescent="0.25">
      <c r="A114" s="23">
        <v>2020</v>
      </c>
      <c r="B114" s="23" t="s">
        <v>195</v>
      </c>
      <c r="C114" s="23" t="s">
        <v>181</v>
      </c>
      <c r="D114" s="23" t="s">
        <v>188</v>
      </c>
      <c r="E114" s="23">
        <v>55</v>
      </c>
      <c r="F114" s="14">
        <v>19</v>
      </c>
      <c r="G114" s="23">
        <v>74</v>
      </c>
    </row>
    <row r="115" spans="1:7" x14ac:dyDescent="0.25">
      <c r="A115" s="23">
        <v>2020</v>
      </c>
      <c r="B115" s="23" t="s">
        <v>195</v>
      </c>
      <c r="C115" s="23" t="s">
        <v>181</v>
      </c>
      <c r="D115" s="23" t="s">
        <v>190</v>
      </c>
      <c r="E115" s="23">
        <v>228</v>
      </c>
      <c r="F115" s="14">
        <v>82</v>
      </c>
      <c r="G115" s="23">
        <v>310</v>
      </c>
    </row>
    <row r="116" spans="1:7" x14ac:dyDescent="0.25">
      <c r="A116" s="23">
        <v>2020</v>
      </c>
      <c r="B116" s="23" t="s">
        <v>195</v>
      </c>
      <c r="C116" s="23" t="s">
        <v>182</v>
      </c>
      <c r="D116" s="23" t="s">
        <v>188</v>
      </c>
      <c r="E116" s="23">
        <v>214</v>
      </c>
      <c r="F116" s="14">
        <v>30</v>
      </c>
      <c r="G116" s="23">
        <v>244</v>
      </c>
    </row>
    <row r="117" spans="1:7" x14ac:dyDescent="0.25">
      <c r="A117" s="23">
        <v>2020</v>
      </c>
      <c r="B117" s="23" t="s">
        <v>195</v>
      </c>
      <c r="C117" s="23" t="s">
        <v>182</v>
      </c>
      <c r="D117" s="23" t="s">
        <v>190</v>
      </c>
      <c r="E117" s="23">
        <v>256</v>
      </c>
      <c r="F117" s="14">
        <v>52</v>
      </c>
      <c r="G117" s="23">
        <v>308</v>
      </c>
    </row>
    <row r="118" spans="1:7" x14ac:dyDescent="0.25">
      <c r="A118" s="23">
        <v>2020</v>
      </c>
      <c r="B118" s="23" t="s">
        <v>195</v>
      </c>
      <c r="C118" s="23" t="s">
        <v>197</v>
      </c>
      <c r="D118" s="23" t="s">
        <v>188</v>
      </c>
      <c r="E118" s="23">
        <v>122</v>
      </c>
      <c r="F118" s="14">
        <v>109</v>
      </c>
      <c r="G118" s="23">
        <v>231</v>
      </c>
    </row>
    <row r="119" spans="1:7" x14ac:dyDescent="0.25">
      <c r="A119" s="23">
        <v>2020</v>
      </c>
      <c r="B119" s="23" t="s">
        <v>195</v>
      </c>
      <c r="C119" s="23" t="s">
        <v>197</v>
      </c>
      <c r="D119" s="23" t="s">
        <v>190</v>
      </c>
      <c r="E119" s="23">
        <v>50</v>
      </c>
      <c r="F119" s="14">
        <v>98</v>
      </c>
      <c r="G119" s="23">
        <v>148</v>
      </c>
    </row>
    <row r="120" spans="1:7" x14ac:dyDescent="0.25">
      <c r="A120" s="23">
        <v>2020</v>
      </c>
      <c r="B120" s="23" t="s">
        <v>195</v>
      </c>
      <c r="C120" s="23" t="s">
        <v>198</v>
      </c>
      <c r="D120" s="23" t="s">
        <v>188</v>
      </c>
      <c r="E120" s="23">
        <v>219</v>
      </c>
      <c r="F120" s="14">
        <v>18</v>
      </c>
      <c r="G120" s="23">
        <v>237</v>
      </c>
    </row>
    <row r="121" spans="1:7" x14ac:dyDescent="0.25">
      <c r="A121" s="23">
        <v>2020</v>
      </c>
      <c r="B121" s="23" t="s">
        <v>195</v>
      </c>
      <c r="C121" s="23" t="s">
        <v>198</v>
      </c>
      <c r="D121" s="23" t="s">
        <v>190</v>
      </c>
      <c r="E121" s="23">
        <v>126</v>
      </c>
      <c r="F121" s="14">
        <v>16</v>
      </c>
      <c r="G121" s="23">
        <v>142</v>
      </c>
    </row>
    <row r="122" spans="1:7" x14ac:dyDescent="0.25">
      <c r="A122" s="23">
        <v>2020</v>
      </c>
      <c r="B122" s="23" t="s">
        <v>195</v>
      </c>
      <c r="C122" s="23" t="s">
        <v>199</v>
      </c>
      <c r="D122" s="23" t="s">
        <v>188</v>
      </c>
      <c r="E122" s="23">
        <v>243</v>
      </c>
      <c r="F122" s="14">
        <v>35</v>
      </c>
      <c r="G122" s="23">
        <v>278</v>
      </c>
    </row>
    <row r="123" spans="1:7" x14ac:dyDescent="0.25">
      <c r="A123" s="23">
        <v>2020</v>
      </c>
      <c r="B123" s="23" t="s">
        <v>195</v>
      </c>
      <c r="C123" s="23" t="s">
        <v>199</v>
      </c>
      <c r="D123" s="23" t="s">
        <v>190</v>
      </c>
      <c r="E123" s="23">
        <v>242</v>
      </c>
      <c r="F123" s="14">
        <v>65</v>
      </c>
      <c r="G123" s="23">
        <v>307</v>
      </c>
    </row>
    <row r="124" spans="1:7" x14ac:dyDescent="0.25">
      <c r="A124" s="23">
        <v>2020</v>
      </c>
      <c r="B124" s="23" t="s">
        <v>195</v>
      </c>
      <c r="C124" s="23" t="s">
        <v>200</v>
      </c>
      <c r="D124" s="23" t="s">
        <v>188</v>
      </c>
      <c r="E124" s="23">
        <v>146</v>
      </c>
      <c r="F124" s="14">
        <v>82</v>
      </c>
      <c r="G124" s="23">
        <v>228</v>
      </c>
    </row>
    <row r="125" spans="1:7" x14ac:dyDescent="0.25">
      <c r="A125" s="23">
        <v>2020</v>
      </c>
      <c r="B125" s="23" t="s">
        <v>195</v>
      </c>
      <c r="C125" s="23" t="s">
        <v>200</v>
      </c>
      <c r="D125" s="23" t="s">
        <v>190</v>
      </c>
      <c r="E125" s="23">
        <v>129</v>
      </c>
      <c r="F125" s="14">
        <v>71</v>
      </c>
      <c r="G125" s="23">
        <v>200</v>
      </c>
    </row>
    <row r="126" spans="1:7" x14ac:dyDescent="0.25">
      <c r="A126" s="23">
        <v>2020</v>
      </c>
      <c r="B126" s="23" t="s">
        <v>195</v>
      </c>
      <c r="C126" s="23" t="s">
        <v>201</v>
      </c>
      <c r="D126" s="23" t="s">
        <v>188</v>
      </c>
      <c r="E126" s="23">
        <v>52</v>
      </c>
      <c r="F126" s="14">
        <v>56</v>
      </c>
      <c r="G126" s="23">
        <v>108</v>
      </c>
    </row>
    <row r="127" spans="1:7" x14ac:dyDescent="0.25">
      <c r="A127" s="23">
        <v>2020</v>
      </c>
      <c r="B127" s="23" t="s">
        <v>195</v>
      </c>
      <c r="C127" s="23" t="s">
        <v>201</v>
      </c>
      <c r="D127" s="23" t="s">
        <v>190</v>
      </c>
      <c r="E127" s="23">
        <v>86</v>
      </c>
      <c r="F127" s="14">
        <v>75</v>
      </c>
      <c r="G127" s="23">
        <v>161</v>
      </c>
    </row>
    <row r="128" spans="1:7" x14ac:dyDescent="0.25">
      <c r="A128" s="23">
        <v>2020</v>
      </c>
      <c r="B128" s="23" t="s">
        <v>195</v>
      </c>
      <c r="C128" s="23" t="s">
        <v>202</v>
      </c>
      <c r="D128" s="23" t="s">
        <v>188</v>
      </c>
      <c r="E128" s="23">
        <v>66</v>
      </c>
      <c r="F128" s="14">
        <v>42</v>
      </c>
      <c r="G128" s="23">
        <v>108</v>
      </c>
    </row>
    <row r="129" spans="1:7" x14ac:dyDescent="0.25">
      <c r="A129" s="23">
        <v>2020</v>
      </c>
      <c r="B129" s="23" t="s">
        <v>195</v>
      </c>
      <c r="C129" s="23" t="s">
        <v>202</v>
      </c>
      <c r="D129" s="23" t="s">
        <v>190</v>
      </c>
      <c r="E129" s="23">
        <v>86</v>
      </c>
      <c r="F129" s="14">
        <v>89</v>
      </c>
      <c r="G129" s="23">
        <v>175</v>
      </c>
    </row>
    <row r="130" spans="1:7" x14ac:dyDescent="0.25">
      <c r="A130" s="23">
        <v>2021</v>
      </c>
      <c r="B130" s="23" t="s">
        <v>187</v>
      </c>
      <c r="C130" s="23" t="s">
        <v>181</v>
      </c>
      <c r="D130" s="23" t="s">
        <v>188</v>
      </c>
      <c r="E130" s="23">
        <v>88</v>
      </c>
      <c r="F130" s="23">
        <v>29</v>
      </c>
      <c r="G130" s="23">
        <v>117</v>
      </c>
    </row>
    <row r="131" spans="1:7" x14ac:dyDescent="0.25">
      <c r="A131" s="23">
        <v>2021</v>
      </c>
      <c r="B131" s="23" t="s">
        <v>187</v>
      </c>
      <c r="C131" s="23" t="s">
        <v>181</v>
      </c>
      <c r="D131" s="23" t="s">
        <v>190</v>
      </c>
      <c r="E131" s="23">
        <v>70</v>
      </c>
      <c r="F131" s="23">
        <v>54</v>
      </c>
      <c r="G131" s="23">
        <v>124</v>
      </c>
    </row>
    <row r="132" spans="1:7" x14ac:dyDescent="0.25">
      <c r="A132" s="23">
        <v>2021</v>
      </c>
      <c r="B132" s="23" t="s">
        <v>187</v>
      </c>
      <c r="C132" s="23" t="s">
        <v>182</v>
      </c>
      <c r="D132" s="23" t="s">
        <v>188</v>
      </c>
      <c r="E132" s="23">
        <v>104</v>
      </c>
      <c r="F132" s="23">
        <v>60</v>
      </c>
      <c r="G132" s="23">
        <v>164</v>
      </c>
    </row>
    <row r="133" spans="1:7" x14ac:dyDescent="0.25">
      <c r="A133" s="23">
        <v>2021</v>
      </c>
      <c r="B133" s="23" t="s">
        <v>187</v>
      </c>
      <c r="C133" s="23" t="s">
        <v>182</v>
      </c>
      <c r="D133" s="23" t="s">
        <v>190</v>
      </c>
      <c r="E133" s="23">
        <v>240</v>
      </c>
      <c r="F133" s="23">
        <v>89</v>
      </c>
      <c r="G133" s="23">
        <v>329</v>
      </c>
    </row>
    <row r="134" spans="1:7" x14ac:dyDescent="0.25">
      <c r="A134" s="23">
        <v>2021</v>
      </c>
      <c r="B134" s="23" t="s">
        <v>187</v>
      </c>
      <c r="C134" s="23" t="s">
        <v>197</v>
      </c>
      <c r="D134" s="23" t="s">
        <v>188</v>
      </c>
      <c r="E134" s="23">
        <v>55</v>
      </c>
      <c r="F134" s="23">
        <v>42</v>
      </c>
      <c r="G134" s="23">
        <v>97</v>
      </c>
    </row>
    <row r="135" spans="1:7" x14ac:dyDescent="0.25">
      <c r="A135" s="23">
        <v>2021</v>
      </c>
      <c r="B135" s="23" t="s">
        <v>187</v>
      </c>
      <c r="C135" s="23" t="s">
        <v>197</v>
      </c>
      <c r="D135" s="23" t="s">
        <v>190</v>
      </c>
      <c r="E135" s="23">
        <v>166</v>
      </c>
      <c r="F135" s="23">
        <v>80</v>
      </c>
      <c r="G135" s="23">
        <v>246</v>
      </c>
    </row>
    <row r="136" spans="1:7" x14ac:dyDescent="0.25">
      <c r="A136" s="23">
        <v>2021</v>
      </c>
      <c r="B136" s="23" t="s">
        <v>187</v>
      </c>
      <c r="C136" s="23" t="s">
        <v>198</v>
      </c>
      <c r="D136" s="23" t="s">
        <v>188</v>
      </c>
      <c r="E136" s="23">
        <v>97</v>
      </c>
      <c r="F136" s="23">
        <v>102</v>
      </c>
      <c r="G136" s="23">
        <v>199</v>
      </c>
    </row>
    <row r="137" spans="1:7" x14ac:dyDescent="0.25">
      <c r="A137" s="23">
        <v>2021</v>
      </c>
      <c r="B137" s="23" t="s">
        <v>187</v>
      </c>
      <c r="C137" s="23" t="s">
        <v>198</v>
      </c>
      <c r="D137" s="23" t="s">
        <v>190</v>
      </c>
      <c r="E137" s="23">
        <v>246</v>
      </c>
      <c r="F137" s="23">
        <v>99</v>
      </c>
      <c r="G137" s="23">
        <v>345</v>
      </c>
    </row>
    <row r="138" spans="1:7" x14ac:dyDescent="0.25">
      <c r="A138" s="23">
        <v>2021</v>
      </c>
      <c r="B138" s="23" t="s">
        <v>187</v>
      </c>
      <c r="C138" s="23" t="s">
        <v>199</v>
      </c>
      <c r="D138" s="23" t="s">
        <v>188</v>
      </c>
      <c r="E138" s="23">
        <v>106</v>
      </c>
      <c r="F138" s="23">
        <v>107</v>
      </c>
      <c r="G138" s="23">
        <v>213</v>
      </c>
    </row>
    <row r="139" spans="1:7" x14ac:dyDescent="0.25">
      <c r="A139" s="23">
        <v>2021</v>
      </c>
      <c r="B139" s="23" t="s">
        <v>187</v>
      </c>
      <c r="C139" s="23" t="s">
        <v>199</v>
      </c>
      <c r="D139" s="23" t="s">
        <v>190</v>
      </c>
      <c r="E139" s="23">
        <v>181</v>
      </c>
      <c r="F139" s="23">
        <v>76</v>
      </c>
      <c r="G139" s="23">
        <v>257</v>
      </c>
    </row>
    <row r="140" spans="1:7" x14ac:dyDescent="0.25">
      <c r="A140" s="23">
        <v>2021</v>
      </c>
      <c r="B140" s="23" t="s">
        <v>187</v>
      </c>
      <c r="C140" s="23" t="s">
        <v>200</v>
      </c>
      <c r="D140" s="23" t="s">
        <v>188</v>
      </c>
      <c r="E140" s="23">
        <v>54</v>
      </c>
      <c r="F140" s="23">
        <v>54</v>
      </c>
      <c r="G140" s="23">
        <v>108</v>
      </c>
    </row>
    <row r="141" spans="1:7" x14ac:dyDescent="0.25">
      <c r="A141" s="23">
        <v>2021</v>
      </c>
      <c r="B141" s="23" t="s">
        <v>187</v>
      </c>
      <c r="C141" s="23" t="s">
        <v>200</v>
      </c>
      <c r="D141" s="23" t="s">
        <v>190</v>
      </c>
      <c r="E141" s="23">
        <v>80</v>
      </c>
      <c r="F141" s="23">
        <v>95</v>
      </c>
      <c r="G141" s="23">
        <v>175</v>
      </c>
    </row>
    <row r="142" spans="1:7" x14ac:dyDescent="0.25">
      <c r="A142" s="23">
        <v>2021</v>
      </c>
      <c r="B142" s="23" t="s">
        <v>187</v>
      </c>
      <c r="C142" s="23" t="s">
        <v>201</v>
      </c>
      <c r="D142" s="23" t="s">
        <v>188</v>
      </c>
      <c r="E142" s="23">
        <v>154</v>
      </c>
      <c r="F142" s="23">
        <v>34</v>
      </c>
      <c r="G142" s="23">
        <v>188</v>
      </c>
    </row>
    <row r="143" spans="1:7" x14ac:dyDescent="0.25">
      <c r="A143" s="23">
        <v>2021</v>
      </c>
      <c r="B143" s="23" t="s">
        <v>187</v>
      </c>
      <c r="C143" s="23" t="s">
        <v>201</v>
      </c>
      <c r="D143" s="23" t="s">
        <v>190</v>
      </c>
      <c r="E143" s="23">
        <v>228</v>
      </c>
      <c r="F143" s="23">
        <v>54</v>
      </c>
      <c r="G143" s="23">
        <v>282</v>
      </c>
    </row>
    <row r="144" spans="1:7" x14ac:dyDescent="0.25">
      <c r="A144" s="23">
        <v>2021</v>
      </c>
      <c r="B144" s="23" t="s">
        <v>187</v>
      </c>
      <c r="C144" s="23" t="s">
        <v>202</v>
      </c>
      <c r="D144" s="23" t="s">
        <v>188</v>
      </c>
      <c r="E144" s="23">
        <v>198</v>
      </c>
      <c r="F144" s="23">
        <v>39</v>
      </c>
      <c r="G144" s="23">
        <v>237</v>
      </c>
    </row>
    <row r="145" spans="1:7" x14ac:dyDescent="0.25">
      <c r="A145" s="23">
        <v>2021</v>
      </c>
      <c r="B145" s="23" t="s">
        <v>187</v>
      </c>
      <c r="C145" s="23" t="s">
        <v>202</v>
      </c>
      <c r="D145" s="23" t="s">
        <v>190</v>
      </c>
      <c r="E145" s="23">
        <v>204</v>
      </c>
      <c r="F145" s="23">
        <v>105</v>
      </c>
      <c r="G145" s="23">
        <v>309</v>
      </c>
    </row>
    <row r="146" spans="1:7" x14ac:dyDescent="0.25">
      <c r="A146" s="23">
        <v>2021</v>
      </c>
      <c r="B146" s="23" t="s">
        <v>189</v>
      </c>
      <c r="C146" s="23" t="s">
        <v>181</v>
      </c>
      <c r="D146" s="23" t="s">
        <v>188</v>
      </c>
      <c r="E146" s="23">
        <v>240</v>
      </c>
      <c r="F146" s="23">
        <v>40</v>
      </c>
      <c r="G146" s="23">
        <v>280</v>
      </c>
    </row>
    <row r="147" spans="1:7" x14ac:dyDescent="0.25">
      <c r="A147" s="23">
        <v>2021</v>
      </c>
      <c r="B147" s="23" t="s">
        <v>189</v>
      </c>
      <c r="C147" s="23" t="s">
        <v>181</v>
      </c>
      <c r="D147" s="23" t="s">
        <v>190</v>
      </c>
      <c r="E147" s="23">
        <v>70</v>
      </c>
      <c r="F147" s="23">
        <v>81</v>
      </c>
      <c r="G147" s="23">
        <v>151</v>
      </c>
    </row>
    <row r="148" spans="1:7" x14ac:dyDescent="0.25">
      <c r="A148" s="23">
        <v>2021</v>
      </c>
      <c r="B148" s="23" t="s">
        <v>189</v>
      </c>
      <c r="C148" s="23" t="s">
        <v>182</v>
      </c>
      <c r="D148" s="23" t="s">
        <v>188</v>
      </c>
      <c r="E148" s="23">
        <v>204</v>
      </c>
      <c r="F148" s="23">
        <v>109</v>
      </c>
      <c r="G148" s="23">
        <v>313</v>
      </c>
    </row>
    <row r="149" spans="1:7" x14ac:dyDescent="0.25">
      <c r="A149" s="23">
        <v>2021</v>
      </c>
      <c r="B149" s="23" t="s">
        <v>189</v>
      </c>
      <c r="C149" s="23" t="s">
        <v>182</v>
      </c>
      <c r="D149" s="23" t="s">
        <v>190</v>
      </c>
      <c r="E149" s="23">
        <v>165</v>
      </c>
      <c r="F149" s="23">
        <v>87</v>
      </c>
      <c r="G149" s="23">
        <v>252</v>
      </c>
    </row>
    <row r="150" spans="1:7" x14ac:dyDescent="0.25">
      <c r="A150" s="23">
        <v>2021</v>
      </c>
      <c r="B150" s="23" t="s">
        <v>189</v>
      </c>
      <c r="C150" s="23" t="s">
        <v>197</v>
      </c>
      <c r="D150" s="23" t="s">
        <v>188</v>
      </c>
      <c r="E150" s="23">
        <v>138</v>
      </c>
      <c r="F150" s="23">
        <v>67</v>
      </c>
      <c r="G150" s="23">
        <v>205</v>
      </c>
    </row>
    <row r="151" spans="1:7" x14ac:dyDescent="0.25">
      <c r="A151" s="23">
        <v>2021</v>
      </c>
      <c r="B151" s="23" t="s">
        <v>189</v>
      </c>
      <c r="C151" s="23" t="s">
        <v>197</v>
      </c>
      <c r="D151" s="23" t="s">
        <v>190</v>
      </c>
      <c r="E151" s="23">
        <v>107</v>
      </c>
      <c r="F151" s="23">
        <v>41</v>
      </c>
      <c r="G151" s="23">
        <v>148</v>
      </c>
    </row>
    <row r="152" spans="1:7" x14ac:dyDescent="0.25">
      <c r="A152" s="23">
        <v>2021</v>
      </c>
      <c r="B152" s="23" t="s">
        <v>189</v>
      </c>
      <c r="C152" s="23" t="s">
        <v>198</v>
      </c>
      <c r="D152" s="23" t="s">
        <v>188</v>
      </c>
      <c r="E152" s="23">
        <v>199</v>
      </c>
      <c r="F152" s="23">
        <v>74</v>
      </c>
      <c r="G152" s="23">
        <v>273</v>
      </c>
    </row>
    <row r="153" spans="1:7" x14ac:dyDescent="0.25">
      <c r="A153" s="23">
        <v>2021</v>
      </c>
      <c r="B153" s="23" t="s">
        <v>189</v>
      </c>
      <c r="C153" s="23" t="s">
        <v>198</v>
      </c>
      <c r="D153" s="23" t="s">
        <v>190</v>
      </c>
      <c r="E153" s="23">
        <v>231</v>
      </c>
      <c r="F153" s="23">
        <v>80</v>
      </c>
      <c r="G153" s="23">
        <v>311</v>
      </c>
    </row>
    <row r="154" spans="1:7" x14ac:dyDescent="0.25">
      <c r="A154" s="23">
        <v>2021</v>
      </c>
      <c r="B154" s="23" t="s">
        <v>189</v>
      </c>
      <c r="C154" s="23" t="s">
        <v>199</v>
      </c>
      <c r="D154" s="23" t="s">
        <v>188</v>
      </c>
      <c r="E154" s="23">
        <v>175</v>
      </c>
      <c r="F154" s="23">
        <v>70</v>
      </c>
      <c r="G154" s="23">
        <v>245</v>
      </c>
    </row>
    <row r="155" spans="1:7" x14ac:dyDescent="0.25">
      <c r="A155" s="23">
        <v>2021</v>
      </c>
      <c r="B155" s="23" t="s">
        <v>189</v>
      </c>
      <c r="C155" s="23" t="s">
        <v>199</v>
      </c>
      <c r="D155" s="23" t="s">
        <v>190</v>
      </c>
      <c r="E155" s="23">
        <v>81</v>
      </c>
      <c r="F155" s="23">
        <v>57</v>
      </c>
      <c r="G155" s="23">
        <v>138</v>
      </c>
    </row>
    <row r="156" spans="1:7" x14ac:dyDescent="0.25">
      <c r="A156" s="23">
        <v>2021</v>
      </c>
      <c r="B156" s="23" t="s">
        <v>189</v>
      </c>
      <c r="C156" s="23" t="s">
        <v>200</v>
      </c>
      <c r="D156" s="23" t="s">
        <v>188</v>
      </c>
      <c r="E156" s="23">
        <v>201</v>
      </c>
      <c r="F156" s="23">
        <v>44</v>
      </c>
      <c r="G156" s="23">
        <v>245</v>
      </c>
    </row>
    <row r="157" spans="1:7" x14ac:dyDescent="0.25">
      <c r="A157" s="23">
        <v>2021</v>
      </c>
      <c r="B157" s="23" t="s">
        <v>189</v>
      </c>
      <c r="C157" s="23" t="s">
        <v>200</v>
      </c>
      <c r="D157" s="23" t="s">
        <v>190</v>
      </c>
      <c r="E157" s="23">
        <v>87</v>
      </c>
      <c r="F157" s="23">
        <v>103</v>
      </c>
      <c r="G157" s="23">
        <v>190</v>
      </c>
    </row>
    <row r="158" spans="1:7" x14ac:dyDescent="0.25">
      <c r="A158" s="23">
        <v>2021</v>
      </c>
      <c r="B158" s="23" t="s">
        <v>189</v>
      </c>
      <c r="C158" s="23" t="s">
        <v>201</v>
      </c>
      <c r="D158" s="23" t="s">
        <v>188</v>
      </c>
      <c r="E158" s="23">
        <v>205</v>
      </c>
      <c r="F158" s="23">
        <v>54</v>
      </c>
      <c r="G158" s="23">
        <v>259</v>
      </c>
    </row>
    <row r="159" spans="1:7" x14ac:dyDescent="0.25">
      <c r="A159" s="23">
        <v>2021</v>
      </c>
      <c r="B159" s="23" t="s">
        <v>189</v>
      </c>
      <c r="C159" s="23" t="s">
        <v>201</v>
      </c>
      <c r="D159" s="23" t="s">
        <v>190</v>
      </c>
      <c r="E159" s="23">
        <v>191</v>
      </c>
      <c r="F159" s="23">
        <v>54</v>
      </c>
      <c r="G159" s="23">
        <v>245</v>
      </c>
    </row>
    <row r="160" spans="1:7" x14ac:dyDescent="0.25">
      <c r="A160" s="23">
        <v>2021</v>
      </c>
      <c r="B160" s="23" t="s">
        <v>189</v>
      </c>
      <c r="C160" s="23" t="s">
        <v>202</v>
      </c>
      <c r="D160" s="23" t="s">
        <v>188</v>
      </c>
      <c r="E160" s="23">
        <v>146</v>
      </c>
      <c r="F160" s="23">
        <v>80</v>
      </c>
      <c r="G160" s="23">
        <v>226</v>
      </c>
    </row>
    <row r="161" spans="1:7" x14ac:dyDescent="0.25">
      <c r="A161" s="23">
        <v>2021</v>
      </c>
      <c r="B161" s="23" t="s">
        <v>189</v>
      </c>
      <c r="C161" s="23" t="s">
        <v>202</v>
      </c>
      <c r="D161" s="23" t="s">
        <v>190</v>
      </c>
      <c r="E161" s="23">
        <v>46</v>
      </c>
      <c r="F161" s="23">
        <v>44</v>
      </c>
      <c r="G161" s="23">
        <v>90</v>
      </c>
    </row>
    <row r="162" spans="1:7" x14ac:dyDescent="0.25">
      <c r="A162" s="23">
        <v>2021</v>
      </c>
      <c r="B162" s="23" t="s">
        <v>191</v>
      </c>
      <c r="C162" s="23" t="s">
        <v>181</v>
      </c>
      <c r="D162" s="23" t="s">
        <v>188</v>
      </c>
      <c r="E162" s="23">
        <v>92</v>
      </c>
      <c r="F162" s="23">
        <v>70</v>
      </c>
      <c r="G162" s="23">
        <v>162</v>
      </c>
    </row>
    <row r="163" spans="1:7" x14ac:dyDescent="0.25">
      <c r="A163" s="23">
        <v>2021</v>
      </c>
      <c r="B163" s="23" t="s">
        <v>191</v>
      </c>
      <c r="C163" s="23" t="s">
        <v>181</v>
      </c>
      <c r="D163" s="23" t="s">
        <v>190</v>
      </c>
      <c r="E163" s="23">
        <v>66</v>
      </c>
      <c r="F163" s="23">
        <v>57</v>
      </c>
      <c r="G163" s="23">
        <v>123</v>
      </c>
    </row>
    <row r="164" spans="1:7" x14ac:dyDescent="0.25">
      <c r="A164" s="23">
        <v>2021</v>
      </c>
      <c r="B164" s="23" t="s">
        <v>191</v>
      </c>
      <c r="C164" s="23" t="s">
        <v>182</v>
      </c>
      <c r="D164" s="23" t="s">
        <v>188</v>
      </c>
      <c r="E164" s="23">
        <v>82</v>
      </c>
      <c r="F164" s="23">
        <v>38</v>
      </c>
      <c r="G164" s="23">
        <v>120</v>
      </c>
    </row>
    <row r="165" spans="1:7" x14ac:dyDescent="0.25">
      <c r="A165" s="23">
        <v>2021</v>
      </c>
      <c r="B165" s="23" t="s">
        <v>191</v>
      </c>
      <c r="C165" s="23" t="s">
        <v>182</v>
      </c>
      <c r="D165" s="23" t="s">
        <v>190</v>
      </c>
      <c r="E165" s="23">
        <v>159</v>
      </c>
      <c r="F165" s="23">
        <v>47</v>
      </c>
      <c r="G165" s="23">
        <v>206</v>
      </c>
    </row>
    <row r="166" spans="1:7" x14ac:dyDescent="0.25">
      <c r="A166" s="23">
        <v>2021</v>
      </c>
      <c r="B166" s="23" t="s">
        <v>191</v>
      </c>
      <c r="C166" s="23" t="s">
        <v>197</v>
      </c>
      <c r="D166" s="23" t="s">
        <v>188</v>
      </c>
      <c r="E166" s="23">
        <v>128</v>
      </c>
      <c r="F166" s="23">
        <v>107</v>
      </c>
      <c r="G166" s="23">
        <v>235</v>
      </c>
    </row>
    <row r="167" spans="1:7" x14ac:dyDescent="0.25">
      <c r="A167" s="23">
        <v>2021</v>
      </c>
      <c r="B167" s="23" t="s">
        <v>191</v>
      </c>
      <c r="C167" s="23" t="s">
        <v>197</v>
      </c>
      <c r="D167" s="23" t="s">
        <v>190</v>
      </c>
      <c r="E167" s="23">
        <v>56</v>
      </c>
      <c r="F167" s="23">
        <v>100</v>
      </c>
      <c r="G167" s="23">
        <v>156</v>
      </c>
    </row>
    <row r="168" spans="1:7" x14ac:dyDescent="0.25">
      <c r="A168" s="23">
        <v>2021</v>
      </c>
      <c r="B168" s="23" t="s">
        <v>191</v>
      </c>
      <c r="C168" s="23" t="s">
        <v>198</v>
      </c>
      <c r="D168" s="23" t="s">
        <v>188</v>
      </c>
      <c r="E168" s="23">
        <v>80</v>
      </c>
      <c r="F168" s="23">
        <v>103</v>
      </c>
      <c r="G168" s="23">
        <v>183</v>
      </c>
    </row>
    <row r="169" spans="1:7" x14ac:dyDescent="0.25">
      <c r="A169" s="23">
        <v>2021</v>
      </c>
      <c r="B169" s="23" t="s">
        <v>191</v>
      </c>
      <c r="C169" s="23" t="s">
        <v>198</v>
      </c>
      <c r="D169" s="23" t="s">
        <v>190</v>
      </c>
      <c r="E169" s="23">
        <v>95</v>
      </c>
      <c r="F169" s="23">
        <v>66</v>
      </c>
      <c r="G169" s="23">
        <v>161</v>
      </c>
    </row>
    <row r="170" spans="1:7" x14ac:dyDescent="0.25">
      <c r="A170" s="23">
        <v>2021</v>
      </c>
      <c r="B170" s="23" t="s">
        <v>191</v>
      </c>
      <c r="C170" s="23" t="s">
        <v>199</v>
      </c>
      <c r="D170" s="23" t="s">
        <v>188</v>
      </c>
      <c r="E170" s="23">
        <v>48</v>
      </c>
      <c r="F170" s="23">
        <v>75</v>
      </c>
      <c r="G170" s="23">
        <v>123</v>
      </c>
    </row>
    <row r="171" spans="1:7" x14ac:dyDescent="0.25">
      <c r="A171" s="23">
        <v>2021</v>
      </c>
      <c r="B171" s="23" t="s">
        <v>191</v>
      </c>
      <c r="C171" s="23" t="s">
        <v>199</v>
      </c>
      <c r="D171" s="23" t="s">
        <v>190</v>
      </c>
      <c r="E171" s="23">
        <v>234</v>
      </c>
      <c r="F171" s="23">
        <v>58</v>
      </c>
      <c r="G171" s="23">
        <v>292</v>
      </c>
    </row>
    <row r="172" spans="1:7" x14ac:dyDescent="0.25">
      <c r="A172" s="23">
        <v>2021</v>
      </c>
      <c r="B172" s="23" t="s">
        <v>191</v>
      </c>
      <c r="C172" s="23" t="s">
        <v>200</v>
      </c>
      <c r="D172" s="23" t="s">
        <v>188</v>
      </c>
      <c r="E172" s="23">
        <v>112</v>
      </c>
      <c r="F172" s="23">
        <v>20</v>
      </c>
      <c r="G172" s="23">
        <v>132</v>
      </c>
    </row>
    <row r="173" spans="1:7" x14ac:dyDescent="0.25">
      <c r="A173" s="23">
        <v>2021</v>
      </c>
      <c r="B173" s="23" t="s">
        <v>191</v>
      </c>
      <c r="C173" s="23" t="s">
        <v>200</v>
      </c>
      <c r="D173" s="23" t="s">
        <v>190</v>
      </c>
      <c r="E173" s="23">
        <v>58</v>
      </c>
      <c r="F173" s="23">
        <v>101</v>
      </c>
      <c r="G173" s="23">
        <v>159</v>
      </c>
    </row>
    <row r="174" spans="1:7" x14ac:dyDescent="0.25">
      <c r="A174" s="23">
        <v>2021</v>
      </c>
      <c r="B174" s="23" t="s">
        <v>191</v>
      </c>
      <c r="C174" s="23" t="s">
        <v>201</v>
      </c>
      <c r="D174" s="23" t="s">
        <v>188</v>
      </c>
      <c r="E174" s="23">
        <v>158</v>
      </c>
      <c r="F174" s="23">
        <v>43</v>
      </c>
      <c r="G174" s="23">
        <v>201</v>
      </c>
    </row>
    <row r="175" spans="1:7" x14ac:dyDescent="0.25">
      <c r="A175" s="23">
        <v>2021</v>
      </c>
      <c r="B175" s="23" t="s">
        <v>191</v>
      </c>
      <c r="C175" s="23" t="s">
        <v>201</v>
      </c>
      <c r="D175" s="23" t="s">
        <v>190</v>
      </c>
      <c r="E175" s="23">
        <v>220</v>
      </c>
      <c r="F175" s="23">
        <v>109</v>
      </c>
      <c r="G175" s="23">
        <v>329</v>
      </c>
    </row>
    <row r="176" spans="1:7" x14ac:dyDescent="0.25">
      <c r="A176" s="23">
        <v>2021</v>
      </c>
      <c r="B176" s="23" t="s">
        <v>191</v>
      </c>
      <c r="C176" s="23" t="s">
        <v>202</v>
      </c>
      <c r="D176" s="23" t="s">
        <v>188</v>
      </c>
      <c r="E176" s="23">
        <v>163</v>
      </c>
      <c r="F176" s="23">
        <v>83</v>
      </c>
      <c r="G176" s="23">
        <v>246</v>
      </c>
    </row>
    <row r="177" spans="1:7" x14ac:dyDescent="0.25">
      <c r="A177" s="23">
        <v>2021</v>
      </c>
      <c r="B177" s="23" t="s">
        <v>191</v>
      </c>
      <c r="C177" s="23" t="s">
        <v>202</v>
      </c>
      <c r="D177" s="23" t="s">
        <v>190</v>
      </c>
      <c r="E177" s="23">
        <v>259</v>
      </c>
      <c r="F177" s="23">
        <v>89</v>
      </c>
      <c r="G177" s="23">
        <v>348</v>
      </c>
    </row>
    <row r="178" spans="1:7" x14ac:dyDescent="0.25">
      <c r="A178" s="23">
        <v>2021</v>
      </c>
      <c r="B178" s="23" t="s">
        <v>193</v>
      </c>
      <c r="C178" s="23" t="s">
        <v>181</v>
      </c>
      <c r="D178" s="23" t="s">
        <v>188</v>
      </c>
      <c r="E178" s="23">
        <v>105</v>
      </c>
      <c r="F178" s="23">
        <v>27</v>
      </c>
      <c r="G178" s="23">
        <v>132</v>
      </c>
    </row>
    <row r="179" spans="1:7" x14ac:dyDescent="0.25">
      <c r="A179" s="23">
        <v>2021</v>
      </c>
      <c r="B179" s="23" t="s">
        <v>193</v>
      </c>
      <c r="C179" s="23" t="s">
        <v>181</v>
      </c>
      <c r="D179" s="23" t="s">
        <v>190</v>
      </c>
      <c r="E179" s="23">
        <v>180</v>
      </c>
      <c r="F179" s="23">
        <v>71</v>
      </c>
      <c r="G179" s="23">
        <v>251</v>
      </c>
    </row>
    <row r="180" spans="1:7" x14ac:dyDescent="0.25">
      <c r="A180" s="23">
        <v>2021</v>
      </c>
      <c r="B180" s="23" t="s">
        <v>193</v>
      </c>
      <c r="C180" s="23" t="s">
        <v>182</v>
      </c>
      <c r="D180" s="23" t="s">
        <v>188</v>
      </c>
      <c r="E180" s="23">
        <v>68</v>
      </c>
      <c r="F180" s="23">
        <v>56</v>
      </c>
      <c r="G180" s="23">
        <v>124</v>
      </c>
    </row>
    <row r="181" spans="1:7" x14ac:dyDescent="0.25">
      <c r="A181" s="23">
        <v>2021</v>
      </c>
      <c r="B181" s="23" t="s">
        <v>193</v>
      </c>
      <c r="C181" s="23" t="s">
        <v>182</v>
      </c>
      <c r="D181" s="23" t="s">
        <v>190</v>
      </c>
      <c r="E181" s="23">
        <v>142</v>
      </c>
      <c r="F181" s="23">
        <v>88</v>
      </c>
      <c r="G181" s="23">
        <v>230</v>
      </c>
    </row>
    <row r="182" spans="1:7" x14ac:dyDescent="0.25">
      <c r="A182" s="23">
        <v>2021</v>
      </c>
      <c r="B182" s="23" t="s">
        <v>193</v>
      </c>
      <c r="C182" s="23" t="s">
        <v>197</v>
      </c>
      <c r="D182" s="23" t="s">
        <v>188</v>
      </c>
      <c r="E182" s="23">
        <v>250</v>
      </c>
      <c r="F182" s="23">
        <v>98</v>
      </c>
      <c r="G182" s="23">
        <v>348</v>
      </c>
    </row>
    <row r="183" spans="1:7" x14ac:dyDescent="0.25">
      <c r="A183" s="23">
        <v>2021</v>
      </c>
      <c r="B183" s="23" t="s">
        <v>193</v>
      </c>
      <c r="C183" s="23" t="s">
        <v>197</v>
      </c>
      <c r="D183" s="23" t="s">
        <v>190</v>
      </c>
      <c r="E183" s="23">
        <v>111</v>
      </c>
      <c r="F183" s="23">
        <v>68</v>
      </c>
      <c r="G183" s="23">
        <v>179</v>
      </c>
    </row>
    <row r="184" spans="1:7" x14ac:dyDescent="0.25">
      <c r="A184" s="23">
        <v>2021</v>
      </c>
      <c r="B184" s="23" t="s">
        <v>193</v>
      </c>
      <c r="C184" s="23" t="s">
        <v>198</v>
      </c>
      <c r="D184" s="23" t="s">
        <v>188</v>
      </c>
      <c r="E184" s="23">
        <v>239</v>
      </c>
      <c r="F184" s="23">
        <v>27</v>
      </c>
      <c r="G184" s="23">
        <v>266</v>
      </c>
    </row>
    <row r="185" spans="1:7" x14ac:dyDescent="0.25">
      <c r="A185" s="23">
        <v>2021</v>
      </c>
      <c r="B185" s="23" t="s">
        <v>193</v>
      </c>
      <c r="C185" s="23" t="s">
        <v>198</v>
      </c>
      <c r="D185" s="23" t="s">
        <v>190</v>
      </c>
      <c r="E185" s="23">
        <v>95</v>
      </c>
      <c r="F185" s="23">
        <v>99</v>
      </c>
      <c r="G185" s="23">
        <v>194</v>
      </c>
    </row>
    <row r="186" spans="1:7" x14ac:dyDescent="0.25">
      <c r="A186" s="23">
        <v>2021</v>
      </c>
      <c r="B186" s="23" t="s">
        <v>193</v>
      </c>
      <c r="C186" s="23" t="s">
        <v>199</v>
      </c>
      <c r="D186" s="23" t="s">
        <v>188</v>
      </c>
      <c r="E186" s="23">
        <v>86</v>
      </c>
      <c r="F186" s="23">
        <v>107</v>
      </c>
      <c r="G186" s="23">
        <v>193</v>
      </c>
    </row>
    <row r="187" spans="1:7" x14ac:dyDescent="0.25">
      <c r="A187" s="23">
        <v>2021</v>
      </c>
      <c r="B187" s="23" t="s">
        <v>193</v>
      </c>
      <c r="C187" s="23" t="s">
        <v>199</v>
      </c>
      <c r="D187" s="23" t="s">
        <v>190</v>
      </c>
      <c r="E187" s="23">
        <v>194</v>
      </c>
      <c r="F187" s="23">
        <v>69</v>
      </c>
      <c r="G187" s="23">
        <v>263</v>
      </c>
    </row>
    <row r="188" spans="1:7" x14ac:dyDescent="0.25">
      <c r="A188" s="23">
        <v>2021</v>
      </c>
      <c r="B188" s="23" t="s">
        <v>193</v>
      </c>
      <c r="C188" s="23" t="s">
        <v>200</v>
      </c>
      <c r="D188" s="23" t="s">
        <v>188</v>
      </c>
      <c r="E188" s="23">
        <v>147</v>
      </c>
      <c r="F188" s="23">
        <v>62</v>
      </c>
      <c r="G188" s="23">
        <v>209</v>
      </c>
    </row>
    <row r="189" spans="1:7" x14ac:dyDescent="0.25">
      <c r="A189" s="23">
        <v>2021</v>
      </c>
      <c r="B189" s="23" t="s">
        <v>193</v>
      </c>
      <c r="C189" s="23" t="s">
        <v>200</v>
      </c>
      <c r="D189" s="23" t="s">
        <v>190</v>
      </c>
      <c r="E189" s="23">
        <v>239</v>
      </c>
      <c r="F189" s="23">
        <v>52</v>
      </c>
      <c r="G189" s="23">
        <v>291</v>
      </c>
    </row>
    <row r="190" spans="1:7" x14ac:dyDescent="0.25">
      <c r="A190" s="23">
        <v>2021</v>
      </c>
      <c r="B190" s="23" t="s">
        <v>193</v>
      </c>
      <c r="C190" s="23" t="s">
        <v>201</v>
      </c>
      <c r="D190" s="23" t="s">
        <v>188</v>
      </c>
      <c r="E190" s="23">
        <v>140</v>
      </c>
      <c r="F190" s="23">
        <v>88</v>
      </c>
      <c r="G190" s="23">
        <v>228</v>
      </c>
    </row>
    <row r="191" spans="1:7" x14ac:dyDescent="0.25">
      <c r="A191" s="23">
        <v>2021</v>
      </c>
      <c r="B191" s="23" t="s">
        <v>193</v>
      </c>
      <c r="C191" s="23" t="s">
        <v>201</v>
      </c>
      <c r="D191" s="23" t="s">
        <v>190</v>
      </c>
      <c r="E191" s="23">
        <v>241</v>
      </c>
      <c r="F191" s="23">
        <v>103</v>
      </c>
      <c r="G191" s="23">
        <v>344</v>
      </c>
    </row>
    <row r="192" spans="1:7" x14ac:dyDescent="0.25">
      <c r="A192" s="23">
        <v>2021</v>
      </c>
      <c r="B192" s="23" t="s">
        <v>193</v>
      </c>
      <c r="C192" s="23" t="s">
        <v>202</v>
      </c>
      <c r="D192" s="23" t="s">
        <v>188</v>
      </c>
      <c r="E192" s="23">
        <v>206</v>
      </c>
      <c r="F192" s="23">
        <v>82</v>
      </c>
      <c r="G192" s="23">
        <v>288</v>
      </c>
    </row>
    <row r="193" spans="1:7" x14ac:dyDescent="0.25">
      <c r="A193" s="23">
        <v>2021</v>
      </c>
      <c r="B193" s="23" t="s">
        <v>193</v>
      </c>
      <c r="C193" s="23" t="s">
        <v>202</v>
      </c>
      <c r="D193" s="23" t="s">
        <v>190</v>
      </c>
      <c r="E193" s="23">
        <v>131</v>
      </c>
      <c r="F193" s="23">
        <v>94</v>
      </c>
      <c r="G193" s="23">
        <v>225</v>
      </c>
    </row>
    <row r="194" spans="1:7" x14ac:dyDescent="0.25">
      <c r="A194" s="23">
        <v>2021</v>
      </c>
      <c r="B194" s="23" t="s">
        <v>192</v>
      </c>
      <c r="C194" s="23" t="s">
        <v>181</v>
      </c>
      <c r="D194" s="23" t="s">
        <v>188</v>
      </c>
      <c r="E194" s="23">
        <v>66</v>
      </c>
      <c r="F194" s="23">
        <v>79</v>
      </c>
      <c r="G194" s="23">
        <v>145</v>
      </c>
    </row>
    <row r="195" spans="1:7" x14ac:dyDescent="0.25">
      <c r="A195" s="23">
        <v>2021</v>
      </c>
      <c r="B195" s="23" t="s">
        <v>192</v>
      </c>
      <c r="C195" s="23" t="s">
        <v>181</v>
      </c>
      <c r="D195" s="23" t="s">
        <v>190</v>
      </c>
      <c r="E195" s="23">
        <v>205</v>
      </c>
      <c r="F195" s="23">
        <v>96</v>
      </c>
      <c r="G195" s="23">
        <v>301</v>
      </c>
    </row>
    <row r="196" spans="1:7" x14ac:dyDescent="0.25">
      <c r="A196" s="23">
        <v>2021</v>
      </c>
      <c r="B196" s="23" t="s">
        <v>192</v>
      </c>
      <c r="C196" s="23" t="s">
        <v>182</v>
      </c>
      <c r="D196" s="23" t="s">
        <v>188</v>
      </c>
      <c r="E196" s="23">
        <v>113</v>
      </c>
      <c r="F196" s="23">
        <v>103</v>
      </c>
      <c r="G196" s="23">
        <v>216</v>
      </c>
    </row>
    <row r="197" spans="1:7" x14ac:dyDescent="0.25">
      <c r="A197" s="23">
        <v>2021</v>
      </c>
      <c r="B197" s="23" t="s">
        <v>192</v>
      </c>
      <c r="C197" s="23" t="s">
        <v>182</v>
      </c>
      <c r="D197" s="23" t="s">
        <v>190</v>
      </c>
      <c r="E197" s="23">
        <v>86</v>
      </c>
      <c r="F197" s="23">
        <v>104</v>
      </c>
      <c r="G197" s="23">
        <v>190</v>
      </c>
    </row>
    <row r="198" spans="1:7" x14ac:dyDescent="0.25">
      <c r="A198" s="23">
        <v>2021</v>
      </c>
      <c r="B198" s="23" t="s">
        <v>192</v>
      </c>
      <c r="C198" s="23" t="s">
        <v>197</v>
      </c>
      <c r="D198" s="23" t="s">
        <v>188</v>
      </c>
      <c r="E198" s="23">
        <v>74</v>
      </c>
      <c r="F198" s="23">
        <v>27</v>
      </c>
      <c r="G198" s="23">
        <v>101</v>
      </c>
    </row>
    <row r="199" spans="1:7" x14ac:dyDescent="0.25">
      <c r="A199" s="23">
        <v>2021</v>
      </c>
      <c r="B199" s="23" t="s">
        <v>192</v>
      </c>
      <c r="C199" s="23" t="s">
        <v>197</v>
      </c>
      <c r="D199" s="23" t="s">
        <v>190</v>
      </c>
      <c r="E199" s="23">
        <v>113</v>
      </c>
      <c r="F199" s="23">
        <v>17</v>
      </c>
      <c r="G199" s="23">
        <v>130</v>
      </c>
    </row>
    <row r="200" spans="1:7" x14ac:dyDescent="0.25">
      <c r="A200" s="23">
        <v>2021</v>
      </c>
      <c r="B200" s="23" t="s">
        <v>192</v>
      </c>
      <c r="C200" s="23" t="s">
        <v>198</v>
      </c>
      <c r="D200" s="23" t="s">
        <v>188</v>
      </c>
      <c r="E200" s="23">
        <v>155</v>
      </c>
      <c r="F200" s="23">
        <v>78</v>
      </c>
      <c r="G200" s="23">
        <v>233</v>
      </c>
    </row>
    <row r="201" spans="1:7" x14ac:dyDescent="0.25">
      <c r="A201" s="23">
        <v>2021</v>
      </c>
      <c r="B201" s="23" t="s">
        <v>192</v>
      </c>
      <c r="C201" s="23" t="s">
        <v>198</v>
      </c>
      <c r="D201" s="23" t="s">
        <v>190</v>
      </c>
      <c r="E201" s="23">
        <v>156</v>
      </c>
      <c r="F201" s="23">
        <v>54</v>
      </c>
      <c r="G201" s="23">
        <v>210</v>
      </c>
    </row>
    <row r="202" spans="1:7" x14ac:dyDescent="0.25">
      <c r="A202" s="23">
        <v>2021</v>
      </c>
      <c r="B202" s="23" t="s">
        <v>192</v>
      </c>
      <c r="C202" s="23" t="s">
        <v>199</v>
      </c>
      <c r="D202" s="23" t="s">
        <v>188</v>
      </c>
      <c r="E202" s="23">
        <v>236</v>
      </c>
      <c r="F202" s="23">
        <v>85</v>
      </c>
      <c r="G202" s="23">
        <v>321</v>
      </c>
    </row>
    <row r="203" spans="1:7" x14ac:dyDescent="0.25">
      <c r="A203" s="23">
        <v>2021</v>
      </c>
      <c r="B203" s="23" t="s">
        <v>192</v>
      </c>
      <c r="C203" s="23" t="s">
        <v>199</v>
      </c>
      <c r="D203" s="23" t="s">
        <v>190</v>
      </c>
      <c r="E203" s="23">
        <v>260</v>
      </c>
      <c r="F203" s="23">
        <v>33</v>
      </c>
      <c r="G203" s="23">
        <v>293</v>
      </c>
    </row>
    <row r="204" spans="1:7" x14ac:dyDescent="0.25">
      <c r="A204" s="23">
        <v>2021</v>
      </c>
      <c r="B204" s="23" t="s">
        <v>192</v>
      </c>
      <c r="C204" s="23" t="s">
        <v>200</v>
      </c>
      <c r="D204" s="23" t="s">
        <v>188</v>
      </c>
      <c r="E204" s="23">
        <v>80</v>
      </c>
      <c r="F204" s="23">
        <v>39</v>
      </c>
      <c r="G204" s="23">
        <v>119</v>
      </c>
    </row>
    <row r="205" spans="1:7" x14ac:dyDescent="0.25">
      <c r="A205" s="23">
        <v>2021</v>
      </c>
      <c r="B205" s="23" t="s">
        <v>192</v>
      </c>
      <c r="C205" s="23" t="s">
        <v>200</v>
      </c>
      <c r="D205" s="23" t="s">
        <v>190</v>
      </c>
      <c r="E205" s="23">
        <v>163</v>
      </c>
      <c r="F205" s="23">
        <v>22</v>
      </c>
      <c r="G205" s="23">
        <v>185</v>
      </c>
    </row>
    <row r="206" spans="1:7" x14ac:dyDescent="0.25">
      <c r="A206" s="23">
        <v>2021</v>
      </c>
      <c r="B206" s="23" t="s">
        <v>192</v>
      </c>
      <c r="C206" s="23" t="s">
        <v>201</v>
      </c>
      <c r="D206" s="23" t="s">
        <v>188</v>
      </c>
      <c r="E206" s="23">
        <v>76</v>
      </c>
      <c r="F206" s="23">
        <v>86</v>
      </c>
      <c r="G206" s="23">
        <v>162</v>
      </c>
    </row>
    <row r="207" spans="1:7" x14ac:dyDescent="0.25">
      <c r="A207" s="23">
        <v>2021</v>
      </c>
      <c r="B207" s="23" t="s">
        <v>192</v>
      </c>
      <c r="C207" s="23" t="s">
        <v>201</v>
      </c>
      <c r="D207" s="23" t="s">
        <v>190</v>
      </c>
      <c r="E207" s="23">
        <v>235</v>
      </c>
      <c r="F207" s="23">
        <v>17</v>
      </c>
      <c r="G207" s="23">
        <v>252</v>
      </c>
    </row>
    <row r="208" spans="1:7" x14ac:dyDescent="0.25">
      <c r="A208" s="23">
        <v>2021</v>
      </c>
      <c r="B208" s="23" t="s">
        <v>192</v>
      </c>
      <c r="C208" s="23" t="s">
        <v>202</v>
      </c>
      <c r="D208" s="23" t="s">
        <v>188</v>
      </c>
      <c r="E208" s="23">
        <v>120</v>
      </c>
      <c r="F208" s="23">
        <v>54</v>
      </c>
      <c r="G208" s="23">
        <v>174</v>
      </c>
    </row>
    <row r="209" spans="1:7" x14ac:dyDescent="0.25">
      <c r="A209" s="23">
        <v>2021</v>
      </c>
      <c r="B209" s="23" t="s">
        <v>192</v>
      </c>
      <c r="C209" s="23" t="s">
        <v>202</v>
      </c>
      <c r="D209" s="23" t="s">
        <v>190</v>
      </c>
      <c r="E209" s="23">
        <v>236</v>
      </c>
      <c r="F209" s="23">
        <v>53</v>
      </c>
      <c r="G209" s="23">
        <v>289</v>
      </c>
    </row>
    <row r="210" spans="1:7" x14ac:dyDescent="0.25">
      <c r="A210" s="23">
        <v>2021</v>
      </c>
      <c r="B210" s="23" t="s">
        <v>196</v>
      </c>
      <c r="C210" s="23" t="s">
        <v>181</v>
      </c>
      <c r="D210" s="23" t="s">
        <v>188</v>
      </c>
      <c r="E210" s="23">
        <v>204</v>
      </c>
      <c r="F210" s="23">
        <v>39</v>
      </c>
      <c r="G210" s="23">
        <v>243</v>
      </c>
    </row>
    <row r="211" spans="1:7" x14ac:dyDescent="0.25">
      <c r="A211" s="23">
        <v>2021</v>
      </c>
      <c r="B211" s="23" t="s">
        <v>196</v>
      </c>
      <c r="C211" s="23" t="s">
        <v>181</v>
      </c>
      <c r="D211" s="23" t="s">
        <v>190</v>
      </c>
      <c r="E211" s="23">
        <v>176</v>
      </c>
      <c r="F211" s="23">
        <v>59</v>
      </c>
      <c r="G211" s="23">
        <v>235</v>
      </c>
    </row>
    <row r="212" spans="1:7" x14ac:dyDescent="0.25">
      <c r="A212" s="23">
        <v>2021</v>
      </c>
      <c r="B212" s="23" t="s">
        <v>196</v>
      </c>
      <c r="C212" s="23" t="s">
        <v>182</v>
      </c>
      <c r="D212" s="23" t="s">
        <v>188</v>
      </c>
      <c r="E212" s="23">
        <v>251</v>
      </c>
      <c r="F212" s="23">
        <v>36</v>
      </c>
      <c r="G212" s="23">
        <v>287</v>
      </c>
    </row>
    <row r="213" spans="1:7" x14ac:dyDescent="0.25">
      <c r="A213" s="23">
        <v>2021</v>
      </c>
      <c r="B213" s="23" t="s">
        <v>196</v>
      </c>
      <c r="C213" s="23" t="s">
        <v>182</v>
      </c>
      <c r="D213" s="23" t="s">
        <v>190</v>
      </c>
      <c r="E213" s="23">
        <v>215</v>
      </c>
      <c r="F213" s="23">
        <v>24</v>
      </c>
      <c r="G213" s="23">
        <v>239</v>
      </c>
    </row>
    <row r="214" spans="1:7" x14ac:dyDescent="0.25">
      <c r="A214" s="23">
        <v>2021</v>
      </c>
      <c r="B214" s="23" t="s">
        <v>196</v>
      </c>
      <c r="C214" s="23" t="s">
        <v>197</v>
      </c>
      <c r="D214" s="23" t="s">
        <v>188</v>
      </c>
      <c r="E214" s="23">
        <v>250</v>
      </c>
      <c r="F214" s="23">
        <v>78</v>
      </c>
      <c r="G214" s="23">
        <v>328</v>
      </c>
    </row>
    <row r="215" spans="1:7" x14ac:dyDescent="0.25">
      <c r="A215" s="23">
        <v>2021</v>
      </c>
      <c r="B215" s="23" t="s">
        <v>196</v>
      </c>
      <c r="C215" s="23" t="s">
        <v>197</v>
      </c>
      <c r="D215" s="23" t="s">
        <v>190</v>
      </c>
      <c r="E215" s="23">
        <v>101</v>
      </c>
      <c r="F215" s="23">
        <v>28</v>
      </c>
      <c r="G215" s="23">
        <v>129</v>
      </c>
    </row>
    <row r="216" spans="1:7" x14ac:dyDescent="0.25">
      <c r="A216" s="23">
        <v>2021</v>
      </c>
      <c r="B216" s="23" t="s">
        <v>196</v>
      </c>
      <c r="C216" s="23" t="s">
        <v>198</v>
      </c>
      <c r="D216" s="23" t="s">
        <v>188</v>
      </c>
      <c r="E216" s="23">
        <v>41</v>
      </c>
      <c r="F216" s="23">
        <v>24</v>
      </c>
      <c r="G216" s="23">
        <v>65</v>
      </c>
    </row>
    <row r="217" spans="1:7" x14ac:dyDescent="0.25">
      <c r="A217" s="23">
        <v>2021</v>
      </c>
      <c r="B217" s="23" t="s">
        <v>196</v>
      </c>
      <c r="C217" s="23" t="s">
        <v>198</v>
      </c>
      <c r="D217" s="23" t="s">
        <v>190</v>
      </c>
      <c r="E217" s="23">
        <v>224</v>
      </c>
      <c r="F217" s="23">
        <v>18</v>
      </c>
      <c r="G217" s="23">
        <v>242</v>
      </c>
    </row>
    <row r="218" spans="1:7" x14ac:dyDescent="0.25">
      <c r="A218" s="23">
        <v>2021</v>
      </c>
      <c r="B218" s="23" t="s">
        <v>196</v>
      </c>
      <c r="C218" s="23" t="s">
        <v>199</v>
      </c>
      <c r="D218" s="23" t="s">
        <v>188</v>
      </c>
      <c r="E218" s="23">
        <v>86</v>
      </c>
      <c r="F218" s="23">
        <v>14</v>
      </c>
      <c r="G218" s="23">
        <v>100</v>
      </c>
    </row>
    <row r="219" spans="1:7" x14ac:dyDescent="0.25">
      <c r="A219" s="23">
        <v>2021</v>
      </c>
      <c r="B219" s="23" t="s">
        <v>196</v>
      </c>
      <c r="C219" s="23" t="s">
        <v>199</v>
      </c>
      <c r="D219" s="23" t="s">
        <v>190</v>
      </c>
      <c r="E219" s="23">
        <v>178</v>
      </c>
      <c r="F219" s="23">
        <v>79</v>
      </c>
      <c r="G219" s="23">
        <v>257</v>
      </c>
    </row>
    <row r="220" spans="1:7" x14ac:dyDescent="0.25">
      <c r="A220" s="23">
        <v>2021</v>
      </c>
      <c r="B220" s="23" t="s">
        <v>196</v>
      </c>
      <c r="C220" s="23" t="s">
        <v>200</v>
      </c>
      <c r="D220" s="23" t="s">
        <v>188</v>
      </c>
      <c r="E220" s="23">
        <v>248</v>
      </c>
      <c r="F220" s="23">
        <v>70</v>
      </c>
      <c r="G220" s="23">
        <v>318</v>
      </c>
    </row>
    <row r="221" spans="1:7" x14ac:dyDescent="0.25">
      <c r="A221" s="23">
        <v>2021</v>
      </c>
      <c r="B221" s="23" t="s">
        <v>196</v>
      </c>
      <c r="C221" s="23" t="s">
        <v>200</v>
      </c>
      <c r="D221" s="23" t="s">
        <v>190</v>
      </c>
      <c r="E221" s="23">
        <v>227</v>
      </c>
      <c r="F221" s="23">
        <v>87</v>
      </c>
      <c r="G221" s="23">
        <v>314</v>
      </c>
    </row>
    <row r="222" spans="1:7" x14ac:dyDescent="0.25">
      <c r="A222" s="23">
        <v>2021</v>
      </c>
      <c r="B222" s="23" t="s">
        <v>196</v>
      </c>
      <c r="C222" s="23" t="s">
        <v>201</v>
      </c>
      <c r="D222" s="23" t="s">
        <v>188</v>
      </c>
      <c r="E222" s="23">
        <v>123</v>
      </c>
      <c r="F222" s="23">
        <v>22</v>
      </c>
      <c r="G222" s="23">
        <v>145</v>
      </c>
    </row>
    <row r="223" spans="1:7" x14ac:dyDescent="0.25">
      <c r="A223" s="23">
        <v>2021</v>
      </c>
      <c r="B223" s="23" t="s">
        <v>196</v>
      </c>
      <c r="C223" s="23" t="s">
        <v>201</v>
      </c>
      <c r="D223" s="23" t="s">
        <v>190</v>
      </c>
      <c r="E223" s="23">
        <v>81</v>
      </c>
      <c r="F223" s="23">
        <v>10</v>
      </c>
      <c r="G223" s="23">
        <v>91</v>
      </c>
    </row>
    <row r="224" spans="1:7" x14ac:dyDescent="0.25">
      <c r="A224" s="23">
        <v>2021</v>
      </c>
      <c r="B224" s="23" t="s">
        <v>196</v>
      </c>
      <c r="C224" s="23" t="s">
        <v>202</v>
      </c>
      <c r="D224" s="23" t="s">
        <v>188</v>
      </c>
      <c r="E224" s="23">
        <v>59</v>
      </c>
      <c r="F224" s="23">
        <v>92</v>
      </c>
      <c r="G224" s="23">
        <v>151</v>
      </c>
    </row>
    <row r="225" spans="1:7" x14ac:dyDescent="0.25">
      <c r="A225" s="23">
        <v>2021</v>
      </c>
      <c r="B225" s="23" t="s">
        <v>196</v>
      </c>
      <c r="C225" s="23" t="s">
        <v>202</v>
      </c>
      <c r="D225" s="23" t="s">
        <v>190</v>
      </c>
      <c r="E225" s="23">
        <v>125</v>
      </c>
      <c r="F225" s="23">
        <v>98</v>
      </c>
      <c r="G225" s="23">
        <v>223</v>
      </c>
    </row>
    <row r="226" spans="1:7" x14ac:dyDescent="0.25">
      <c r="A226" s="23">
        <v>2021</v>
      </c>
      <c r="B226" s="23" t="s">
        <v>194</v>
      </c>
      <c r="C226" s="23" t="s">
        <v>181</v>
      </c>
      <c r="D226" s="23" t="s">
        <v>188</v>
      </c>
      <c r="E226" s="23">
        <v>234</v>
      </c>
      <c r="F226" s="23">
        <v>42</v>
      </c>
      <c r="G226" s="23">
        <v>276</v>
      </c>
    </row>
    <row r="227" spans="1:7" x14ac:dyDescent="0.25">
      <c r="A227" s="23">
        <v>2021</v>
      </c>
      <c r="B227" s="23" t="s">
        <v>194</v>
      </c>
      <c r="C227" s="23" t="s">
        <v>181</v>
      </c>
      <c r="D227" s="23" t="s">
        <v>190</v>
      </c>
      <c r="E227" s="23">
        <v>173</v>
      </c>
      <c r="F227" s="23">
        <v>58</v>
      </c>
      <c r="G227" s="23">
        <v>231</v>
      </c>
    </row>
    <row r="228" spans="1:7" x14ac:dyDescent="0.25">
      <c r="A228" s="23">
        <v>2021</v>
      </c>
      <c r="B228" s="23" t="s">
        <v>194</v>
      </c>
      <c r="C228" s="23" t="s">
        <v>182</v>
      </c>
      <c r="D228" s="23" t="s">
        <v>188</v>
      </c>
      <c r="E228" s="23">
        <v>195</v>
      </c>
      <c r="F228" s="23">
        <v>66</v>
      </c>
      <c r="G228" s="23">
        <v>261</v>
      </c>
    </row>
    <row r="229" spans="1:7" x14ac:dyDescent="0.25">
      <c r="A229" s="23">
        <v>2021</v>
      </c>
      <c r="B229" s="23" t="s">
        <v>194</v>
      </c>
      <c r="C229" s="23" t="s">
        <v>182</v>
      </c>
      <c r="D229" s="23" t="s">
        <v>190</v>
      </c>
      <c r="E229" s="23">
        <v>171</v>
      </c>
      <c r="F229" s="23">
        <v>107</v>
      </c>
      <c r="G229" s="23">
        <v>278</v>
      </c>
    </row>
    <row r="230" spans="1:7" x14ac:dyDescent="0.25">
      <c r="A230" s="23">
        <v>2021</v>
      </c>
      <c r="B230" s="23" t="s">
        <v>194</v>
      </c>
      <c r="C230" s="23" t="s">
        <v>197</v>
      </c>
      <c r="D230" s="23" t="s">
        <v>188</v>
      </c>
      <c r="E230" s="23">
        <v>71</v>
      </c>
      <c r="F230" s="23">
        <v>22</v>
      </c>
      <c r="G230" s="23">
        <v>93</v>
      </c>
    </row>
    <row r="231" spans="1:7" x14ac:dyDescent="0.25">
      <c r="A231" s="23">
        <v>2021</v>
      </c>
      <c r="B231" s="23" t="s">
        <v>194</v>
      </c>
      <c r="C231" s="23" t="s">
        <v>197</v>
      </c>
      <c r="D231" s="23" t="s">
        <v>190</v>
      </c>
      <c r="E231" s="23">
        <v>248</v>
      </c>
      <c r="F231" s="23">
        <v>23</v>
      </c>
      <c r="G231" s="23">
        <v>271</v>
      </c>
    </row>
    <row r="232" spans="1:7" x14ac:dyDescent="0.25">
      <c r="A232" s="23">
        <v>2021</v>
      </c>
      <c r="B232" s="23" t="s">
        <v>194</v>
      </c>
      <c r="C232" s="23" t="s">
        <v>198</v>
      </c>
      <c r="D232" s="23" t="s">
        <v>188</v>
      </c>
      <c r="E232" s="23">
        <v>232</v>
      </c>
      <c r="F232" s="23">
        <v>29</v>
      </c>
      <c r="G232" s="23">
        <v>261</v>
      </c>
    </row>
    <row r="233" spans="1:7" x14ac:dyDescent="0.25">
      <c r="A233" s="23">
        <v>2021</v>
      </c>
      <c r="B233" s="23" t="s">
        <v>194</v>
      </c>
      <c r="C233" s="23" t="s">
        <v>198</v>
      </c>
      <c r="D233" s="23" t="s">
        <v>190</v>
      </c>
      <c r="E233" s="23">
        <v>168</v>
      </c>
      <c r="F233" s="23">
        <v>87</v>
      </c>
      <c r="G233" s="23">
        <v>255</v>
      </c>
    </row>
    <row r="234" spans="1:7" x14ac:dyDescent="0.25">
      <c r="A234" s="23">
        <v>2021</v>
      </c>
      <c r="B234" s="23" t="s">
        <v>194</v>
      </c>
      <c r="C234" s="23" t="s">
        <v>199</v>
      </c>
      <c r="D234" s="23" t="s">
        <v>188</v>
      </c>
      <c r="E234" s="23">
        <v>187</v>
      </c>
      <c r="F234" s="23">
        <v>79</v>
      </c>
      <c r="G234" s="23">
        <v>266</v>
      </c>
    </row>
    <row r="235" spans="1:7" x14ac:dyDescent="0.25">
      <c r="A235" s="23">
        <v>2021</v>
      </c>
      <c r="B235" s="23" t="s">
        <v>194</v>
      </c>
      <c r="C235" s="23" t="s">
        <v>199</v>
      </c>
      <c r="D235" s="23" t="s">
        <v>190</v>
      </c>
      <c r="E235" s="23">
        <v>56</v>
      </c>
      <c r="F235" s="23">
        <v>33</v>
      </c>
      <c r="G235" s="23">
        <v>89</v>
      </c>
    </row>
    <row r="236" spans="1:7" x14ac:dyDescent="0.25">
      <c r="A236" s="23">
        <v>2021</v>
      </c>
      <c r="B236" s="23" t="s">
        <v>194</v>
      </c>
      <c r="C236" s="23" t="s">
        <v>200</v>
      </c>
      <c r="D236" s="23" t="s">
        <v>188</v>
      </c>
      <c r="E236" s="23">
        <v>119</v>
      </c>
      <c r="F236" s="23">
        <v>13</v>
      </c>
      <c r="G236" s="23">
        <v>132</v>
      </c>
    </row>
    <row r="237" spans="1:7" x14ac:dyDescent="0.25">
      <c r="A237" s="23">
        <v>2021</v>
      </c>
      <c r="B237" s="23" t="s">
        <v>194</v>
      </c>
      <c r="C237" s="23" t="s">
        <v>200</v>
      </c>
      <c r="D237" s="23" t="s">
        <v>190</v>
      </c>
      <c r="E237" s="23">
        <v>256</v>
      </c>
      <c r="F237" s="23">
        <v>98</v>
      </c>
      <c r="G237" s="23">
        <v>354</v>
      </c>
    </row>
    <row r="238" spans="1:7" x14ac:dyDescent="0.25">
      <c r="A238" s="23">
        <v>2021</v>
      </c>
      <c r="B238" s="23" t="s">
        <v>194</v>
      </c>
      <c r="C238" s="23" t="s">
        <v>201</v>
      </c>
      <c r="D238" s="23" t="s">
        <v>188</v>
      </c>
      <c r="E238" s="23">
        <v>225</v>
      </c>
      <c r="F238" s="23">
        <v>60</v>
      </c>
      <c r="G238" s="23">
        <v>285</v>
      </c>
    </row>
    <row r="239" spans="1:7" x14ac:dyDescent="0.25">
      <c r="A239" s="23">
        <v>2021</v>
      </c>
      <c r="B239" s="23" t="s">
        <v>194</v>
      </c>
      <c r="C239" s="23" t="s">
        <v>201</v>
      </c>
      <c r="D239" s="23" t="s">
        <v>190</v>
      </c>
      <c r="E239" s="23">
        <v>212</v>
      </c>
      <c r="F239" s="23">
        <v>60</v>
      </c>
      <c r="G239" s="23">
        <v>272</v>
      </c>
    </row>
    <row r="240" spans="1:7" x14ac:dyDescent="0.25">
      <c r="A240" s="23">
        <v>2021</v>
      </c>
      <c r="B240" s="23" t="s">
        <v>194</v>
      </c>
      <c r="C240" s="23" t="s">
        <v>202</v>
      </c>
      <c r="D240" s="23" t="s">
        <v>188</v>
      </c>
      <c r="E240" s="23">
        <v>172</v>
      </c>
      <c r="F240" s="23">
        <v>101</v>
      </c>
      <c r="G240" s="23">
        <v>273</v>
      </c>
    </row>
    <row r="241" spans="1:7" x14ac:dyDescent="0.25">
      <c r="A241" s="23">
        <v>2021</v>
      </c>
      <c r="B241" s="23" t="s">
        <v>194</v>
      </c>
      <c r="C241" s="23" t="s">
        <v>202</v>
      </c>
      <c r="D241" s="23" t="s">
        <v>190</v>
      </c>
      <c r="E241" s="23">
        <v>89</v>
      </c>
      <c r="F241" s="23">
        <v>66</v>
      </c>
      <c r="G241" s="23">
        <v>155</v>
      </c>
    </row>
    <row r="242" spans="1:7" x14ac:dyDescent="0.25">
      <c r="A242" s="23">
        <v>2021</v>
      </c>
      <c r="B242" s="23" t="s">
        <v>195</v>
      </c>
      <c r="C242" s="23" t="s">
        <v>181</v>
      </c>
      <c r="D242" s="23" t="s">
        <v>188</v>
      </c>
      <c r="E242" s="23">
        <v>139</v>
      </c>
      <c r="F242" s="23">
        <v>11</v>
      </c>
      <c r="G242" s="23">
        <v>150</v>
      </c>
    </row>
    <row r="243" spans="1:7" x14ac:dyDescent="0.25">
      <c r="A243" s="23">
        <v>2021</v>
      </c>
      <c r="B243" s="23" t="s">
        <v>195</v>
      </c>
      <c r="C243" s="23" t="s">
        <v>181</v>
      </c>
      <c r="D243" s="23" t="s">
        <v>190</v>
      </c>
      <c r="E243" s="23">
        <v>189</v>
      </c>
      <c r="F243" s="23">
        <v>66</v>
      </c>
      <c r="G243" s="23">
        <v>255</v>
      </c>
    </row>
    <row r="244" spans="1:7" x14ac:dyDescent="0.25">
      <c r="A244" s="23">
        <v>2021</v>
      </c>
      <c r="B244" s="23" t="s">
        <v>195</v>
      </c>
      <c r="C244" s="23" t="s">
        <v>182</v>
      </c>
      <c r="D244" s="23" t="s">
        <v>188</v>
      </c>
      <c r="E244" s="23">
        <v>46</v>
      </c>
      <c r="F244" s="23">
        <v>56</v>
      </c>
      <c r="G244" s="23">
        <v>102</v>
      </c>
    </row>
    <row r="245" spans="1:7" x14ac:dyDescent="0.25">
      <c r="A245" s="23">
        <v>2021</v>
      </c>
      <c r="B245" s="23" t="s">
        <v>195</v>
      </c>
      <c r="C245" s="23" t="s">
        <v>182</v>
      </c>
      <c r="D245" s="23" t="s">
        <v>190</v>
      </c>
      <c r="E245" s="23">
        <v>246</v>
      </c>
      <c r="F245" s="23">
        <v>89</v>
      </c>
      <c r="G245" s="23">
        <v>335</v>
      </c>
    </row>
    <row r="246" spans="1:7" x14ac:dyDescent="0.25">
      <c r="A246" s="23">
        <v>2021</v>
      </c>
      <c r="B246" s="23" t="s">
        <v>195</v>
      </c>
      <c r="C246" s="23" t="s">
        <v>197</v>
      </c>
      <c r="D246" s="23" t="s">
        <v>188</v>
      </c>
      <c r="E246" s="23">
        <v>101</v>
      </c>
      <c r="F246" s="23">
        <v>77</v>
      </c>
      <c r="G246" s="23">
        <v>178</v>
      </c>
    </row>
    <row r="247" spans="1:7" x14ac:dyDescent="0.25">
      <c r="A247" s="23">
        <v>2021</v>
      </c>
      <c r="B247" s="23" t="s">
        <v>195</v>
      </c>
      <c r="C247" s="23" t="s">
        <v>197</v>
      </c>
      <c r="D247" s="23" t="s">
        <v>190</v>
      </c>
      <c r="E247" s="23">
        <v>162</v>
      </c>
      <c r="F247" s="23">
        <v>36</v>
      </c>
      <c r="G247" s="23">
        <v>198</v>
      </c>
    </row>
    <row r="248" spans="1:7" x14ac:dyDescent="0.25">
      <c r="A248" s="23">
        <v>2021</v>
      </c>
      <c r="B248" s="23" t="s">
        <v>195</v>
      </c>
      <c r="C248" s="23" t="s">
        <v>198</v>
      </c>
      <c r="D248" s="23" t="s">
        <v>188</v>
      </c>
      <c r="E248" s="23">
        <v>135</v>
      </c>
      <c r="F248" s="23">
        <v>56</v>
      </c>
      <c r="G248" s="23">
        <v>191</v>
      </c>
    </row>
    <row r="249" spans="1:7" x14ac:dyDescent="0.25">
      <c r="A249" s="23">
        <v>2021</v>
      </c>
      <c r="B249" s="23" t="s">
        <v>195</v>
      </c>
      <c r="C249" s="23" t="s">
        <v>198</v>
      </c>
      <c r="D249" s="23" t="s">
        <v>190</v>
      </c>
      <c r="E249" s="23">
        <v>82</v>
      </c>
      <c r="F249" s="23">
        <v>55</v>
      </c>
      <c r="G249" s="23">
        <v>137</v>
      </c>
    </row>
    <row r="250" spans="1:7" x14ac:dyDescent="0.25">
      <c r="A250" s="23">
        <v>2021</v>
      </c>
      <c r="B250" s="23" t="s">
        <v>195</v>
      </c>
      <c r="C250" s="23" t="s">
        <v>199</v>
      </c>
      <c r="D250" s="23" t="s">
        <v>188</v>
      </c>
      <c r="E250" s="23">
        <v>203</v>
      </c>
      <c r="F250" s="23">
        <v>78</v>
      </c>
      <c r="G250" s="23">
        <v>281</v>
      </c>
    </row>
    <row r="251" spans="1:7" x14ac:dyDescent="0.25">
      <c r="A251" s="23">
        <v>2021</v>
      </c>
      <c r="B251" s="23" t="s">
        <v>195</v>
      </c>
      <c r="C251" s="23" t="s">
        <v>199</v>
      </c>
      <c r="D251" s="23" t="s">
        <v>190</v>
      </c>
      <c r="E251" s="23">
        <v>247</v>
      </c>
      <c r="F251" s="23">
        <v>33</v>
      </c>
      <c r="G251" s="23">
        <v>280</v>
      </c>
    </row>
    <row r="252" spans="1:7" x14ac:dyDescent="0.25">
      <c r="A252" s="23">
        <v>2021</v>
      </c>
      <c r="B252" s="23" t="s">
        <v>195</v>
      </c>
      <c r="C252" s="23" t="s">
        <v>200</v>
      </c>
      <c r="D252" s="23" t="s">
        <v>188</v>
      </c>
      <c r="E252" s="23">
        <v>182</v>
      </c>
      <c r="F252" s="23">
        <v>56</v>
      </c>
      <c r="G252" s="23">
        <v>238</v>
      </c>
    </row>
    <row r="253" spans="1:7" x14ac:dyDescent="0.25">
      <c r="A253" s="23">
        <v>2021</v>
      </c>
      <c r="B253" s="23" t="s">
        <v>195</v>
      </c>
      <c r="C253" s="23" t="s">
        <v>200</v>
      </c>
      <c r="D253" s="23" t="s">
        <v>190</v>
      </c>
      <c r="E253" s="23">
        <v>168</v>
      </c>
      <c r="F253" s="23">
        <v>95</v>
      </c>
      <c r="G253" s="23">
        <v>263</v>
      </c>
    </row>
    <row r="254" spans="1:7" x14ac:dyDescent="0.25">
      <c r="A254" s="23">
        <v>2021</v>
      </c>
      <c r="B254" s="23" t="s">
        <v>195</v>
      </c>
      <c r="C254" s="23" t="s">
        <v>201</v>
      </c>
      <c r="D254" s="23" t="s">
        <v>188</v>
      </c>
      <c r="E254" s="23">
        <v>97</v>
      </c>
      <c r="F254" s="23">
        <v>108</v>
      </c>
      <c r="G254" s="23">
        <v>205</v>
      </c>
    </row>
    <row r="255" spans="1:7" x14ac:dyDescent="0.25">
      <c r="A255" s="23">
        <v>2021</v>
      </c>
      <c r="B255" s="23" t="s">
        <v>195</v>
      </c>
      <c r="C255" s="23" t="s">
        <v>201</v>
      </c>
      <c r="D255" s="23" t="s">
        <v>190</v>
      </c>
      <c r="E255" s="23">
        <v>226</v>
      </c>
      <c r="F255" s="23">
        <v>110</v>
      </c>
      <c r="G255" s="23">
        <v>336</v>
      </c>
    </row>
    <row r="256" spans="1:7" x14ac:dyDescent="0.25">
      <c r="A256" s="23">
        <v>2021</v>
      </c>
      <c r="B256" s="23" t="s">
        <v>195</v>
      </c>
      <c r="C256" s="23" t="s">
        <v>202</v>
      </c>
      <c r="D256" s="23" t="s">
        <v>188</v>
      </c>
      <c r="E256" s="23">
        <v>190</v>
      </c>
      <c r="F256" s="23">
        <v>43</v>
      </c>
      <c r="G256" s="23">
        <v>233</v>
      </c>
    </row>
    <row r="257" spans="1:7" x14ac:dyDescent="0.25">
      <c r="A257" s="23">
        <v>2021</v>
      </c>
      <c r="B257" s="23" t="s">
        <v>195</v>
      </c>
      <c r="C257" s="23" t="s">
        <v>202</v>
      </c>
      <c r="D257" s="23" t="s">
        <v>190</v>
      </c>
      <c r="E257" s="23">
        <v>202</v>
      </c>
      <c r="F257" s="23">
        <v>20</v>
      </c>
      <c r="G257" s="23">
        <v>222</v>
      </c>
    </row>
    <row r="258" spans="1:7" x14ac:dyDescent="0.25">
      <c r="A258" s="23">
        <v>2022</v>
      </c>
      <c r="B258" s="23" t="s">
        <v>187</v>
      </c>
      <c r="C258" s="23" t="s">
        <v>181</v>
      </c>
      <c r="D258" s="23" t="s">
        <v>188</v>
      </c>
      <c r="E258" s="23">
        <v>142</v>
      </c>
      <c r="F258" s="23">
        <v>109</v>
      </c>
      <c r="G258" s="23">
        <v>251</v>
      </c>
    </row>
    <row r="259" spans="1:7" x14ac:dyDescent="0.25">
      <c r="A259" s="23">
        <v>2022</v>
      </c>
      <c r="B259" s="23" t="s">
        <v>187</v>
      </c>
      <c r="C259" s="23" t="s">
        <v>181</v>
      </c>
      <c r="D259" s="23" t="s">
        <v>190</v>
      </c>
      <c r="E259" s="23">
        <v>243</v>
      </c>
      <c r="F259" s="23">
        <v>107</v>
      </c>
      <c r="G259" s="23">
        <v>350</v>
      </c>
    </row>
    <row r="260" spans="1:7" x14ac:dyDescent="0.25">
      <c r="A260" s="23">
        <v>2022</v>
      </c>
      <c r="B260" s="23" t="s">
        <v>187</v>
      </c>
      <c r="C260" s="23" t="s">
        <v>182</v>
      </c>
      <c r="D260" s="23" t="s">
        <v>188</v>
      </c>
      <c r="E260" s="23">
        <v>75</v>
      </c>
      <c r="F260" s="23">
        <v>64</v>
      </c>
      <c r="G260" s="23">
        <v>139</v>
      </c>
    </row>
    <row r="261" spans="1:7" x14ac:dyDescent="0.25">
      <c r="A261" s="23">
        <v>2022</v>
      </c>
      <c r="B261" s="23" t="s">
        <v>187</v>
      </c>
      <c r="C261" s="23" t="s">
        <v>182</v>
      </c>
      <c r="D261" s="23" t="s">
        <v>190</v>
      </c>
      <c r="E261" s="23">
        <v>99</v>
      </c>
      <c r="F261" s="23">
        <v>87</v>
      </c>
      <c r="G261" s="23">
        <v>186</v>
      </c>
    </row>
    <row r="262" spans="1:7" x14ac:dyDescent="0.25">
      <c r="A262" s="23">
        <v>2022</v>
      </c>
      <c r="B262" s="23" t="s">
        <v>187</v>
      </c>
      <c r="C262" s="23" t="s">
        <v>197</v>
      </c>
      <c r="D262" s="23" t="s">
        <v>188</v>
      </c>
      <c r="E262" s="23">
        <v>175</v>
      </c>
      <c r="F262" s="23">
        <v>19</v>
      </c>
      <c r="G262" s="23">
        <v>194</v>
      </c>
    </row>
    <row r="263" spans="1:7" x14ac:dyDescent="0.25">
      <c r="A263" s="23">
        <v>2022</v>
      </c>
      <c r="B263" s="23" t="s">
        <v>187</v>
      </c>
      <c r="C263" s="23" t="s">
        <v>197</v>
      </c>
      <c r="D263" s="23" t="s">
        <v>190</v>
      </c>
      <c r="E263" s="23">
        <v>90</v>
      </c>
      <c r="F263" s="23">
        <v>47</v>
      </c>
      <c r="G263" s="23">
        <v>137</v>
      </c>
    </row>
    <row r="264" spans="1:7" x14ac:dyDescent="0.25">
      <c r="A264" s="23">
        <v>2022</v>
      </c>
      <c r="B264" s="23" t="s">
        <v>187</v>
      </c>
      <c r="C264" s="23" t="s">
        <v>198</v>
      </c>
      <c r="D264" s="23" t="s">
        <v>188</v>
      </c>
      <c r="E264" s="23">
        <v>217</v>
      </c>
      <c r="F264" s="23">
        <v>104</v>
      </c>
      <c r="G264" s="23">
        <v>321</v>
      </c>
    </row>
    <row r="265" spans="1:7" x14ac:dyDescent="0.25">
      <c r="A265" s="23">
        <v>2022</v>
      </c>
      <c r="B265" s="23" t="s">
        <v>187</v>
      </c>
      <c r="C265" s="23" t="s">
        <v>198</v>
      </c>
      <c r="D265" s="23" t="s">
        <v>190</v>
      </c>
      <c r="E265" s="23">
        <v>234</v>
      </c>
      <c r="F265" s="23">
        <v>57</v>
      </c>
      <c r="G265" s="23">
        <v>291</v>
      </c>
    </row>
    <row r="266" spans="1:7" x14ac:dyDescent="0.25">
      <c r="A266" s="23">
        <v>2022</v>
      </c>
      <c r="B266" s="23" t="s">
        <v>187</v>
      </c>
      <c r="C266" s="23" t="s">
        <v>199</v>
      </c>
      <c r="D266" s="23" t="s">
        <v>188</v>
      </c>
      <c r="E266" s="23">
        <v>252</v>
      </c>
      <c r="F266" s="23">
        <v>79</v>
      </c>
      <c r="G266" s="23">
        <v>331</v>
      </c>
    </row>
    <row r="267" spans="1:7" x14ac:dyDescent="0.25">
      <c r="A267" s="23">
        <v>2022</v>
      </c>
      <c r="B267" s="23" t="s">
        <v>187</v>
      </c>
      <c r="C267" s="23" t="s">
        <v>199</v>
      </c>
      <c r="D267" s="23" t="s">
        <v>190</v>
      </c>
      <c r="E267" s="23">
        <v>214</v>
      </c>
      <c r="F267" s="23">
        <v>16</v>
      </c>
      <c r="G267" s="23">
        <v>230</v>
      </c>
    </row>
    <row r="268" spans="1:7" x14ac:dyDescent="0.25">
      <c r="A268" s="23">
        <v>2022</v>
      </c>
      <c r="B268" s="23" t="s">
        <v>187</v>
      </c>
      <c r="C268" s="23" t="s">
        <v>200</v>
      </c>
      <c r="D268" s="23" t="s">
        <v>188</v>
      </c>
      <c r="E268" s="23">
        <v>100</v>
      </c>
      <c r="F268" s="23">
        <v>101</v>
      </c>
      <c r="G268" s="23">
        <v>201</v>
      </c>
    </row>
    <row r="269" spans="1:7" x14ac:dyDescent="0.25">
      <c r="A269" s="23">
        <v>2022</v>
      </c>
      <c r="B269" s="23" t="s">
        <v>187</v>
      </c>
      <c r="C269" s="23" t="s">
        <v>200</v>
      </c>
      <c r="D269" s="23" t="s">
        <v>190</v>
      </c>
      <c r="E269" s="23">
        <v>159</v>
      </c>
      <c r="F269" s="23">
        <v>50</v>
      </c>
      <c r="G269" s="23">
        <v>209</v>
      </c>
    </row>
    <row r="270" spans="1:7" x14ac:dyDescent="0.25">
      <c r="A270" s="23">
        <v>2022</v>
      </c>
      <c r="B270" s="23" t="s">
        <v>187</v>
      </c>
      <c r="C270" s="23" t="s">
        <v>201</v>
      </c>
      <c r="D270" s="23" t="s">
        <v>188</v>
      </c>
      <c r="E270" s="23">
        <v>70</v>
      </c>
      <c r="F270" s="23">
        <v>99</v>
      </c>
      <c r="G270" s="23">
        <v>169</v>
      </c>
    </row>
    <row r="271" spans="1:7" x14ac:dyDescent="0.25">
      <c r="A271" s="23">
        <v>2022</v>
      </c>
      <c r="B271" s="23" t="s">
        <v>187</v>
      </c>
      <c r="C271" s="23" t="s">
        <v>201</v>
      </c>
      <c r="D271" s="23" t="s">
        <v>190</v>
      </c>
      <c r="E271" s="23">
        <v>182</v>
      </c>
      <c r="F271" s="23">
        <v>80</v>
      </c>
      <c r="G271" s="23">
        <v>262</v>
      </c>
    </row>
    <row r="272" spans="1:7" x14ac:dyDescent="0.25">
      <c r="A272" s="23">
        <v>2022</v>
      </c>
      <c r="B272" s="23" t="s">
        <v>187</v>
      </c>
      <c r="C272" s="23" t="s">
        <v>202</v>
      </c>
      <c r="D272" s="23" t="s">
        <v>188</v>
      </c>
      <c r="E272" s="23">
        <v>78</v>
      </c>
      <c r="F272" s="23">
        <v>44</v>
      </c>
      <c r="G272" s="23">
        <v>122</v>
      </c>
    </row>
    <row r="273" spans="1:7" x14ac:dyDescent="0.25">
      <c r="A273" s="23">
        <v>2022</v>
      </c>
      <c r="B273" s="23" t="s">
        <v>187</v>
      </c>
      <c r="C273" s="23" t="s">
        <v>202</v>
      </c>
      <c r="D273" s="23" t="s">
        <v>190</v>
      </c>
      <c r="E273" s="23">
        <v>153</v>
      </c>
      <c r="F273" s="23">
        <v>66</v>
      </c>
      <c r="G273" s="23">
        <v>219</v>
      </c>
    </row>
    <row r="274" spans="1:7" x14ac:dyDescent="0.25">
      <c r="A274" s="23">
        <v>2022</v>
      </c>
      <c r="B274" s="23" t="s">
        <v>189</v>
      </c>
      <c r="C274" s="23" t="s">
        <v>181</v>
      </c>
      <c r="D274" s="23" t="s">
        <v>188</v>
      </c>
      <c r="E274" s="23">
        <v>186</v>
      </c>
      <c r="F274" s="23">
        <v>53</v>
      </c>
      <c r="G274" s="23">
        <v>239</v>
      </c>
    </row>
    <row r="275" spans="1:7" x14ac:dyDescent="0.25">
      <c r="A275" s="23">
        <v>2022</v>
      </c>
      <c r="B275" s="23" t="s">
        <v>189</v>
      </c>
      <c r="C275" s="23" t="s">
        <v>181</v>
      </c>
      <c r="D275" s="23" t="s">
        <v>190</v>
      </c>
      <c r="E275" s="23">
        <v>182</v>
      </c>
      <c r="F275" s="23">
        <v>96</v>
      </c>
      <c r="G275" s="23">
        <v>278</v>
      </c>
    </row>
    <row r="276" spans="1:7" x14ac:dyDescent="0.25">
      <c r="A276" s="23">
        <v>2022</v>
      </c>
      <c r="B276" s="23" t="s">
        <v>189</v>
      </c>
      <c r="C276" s="23" t="s">
        <v>182</v>
      </c>
      <c r="D276" s="23" t="s">
        <v>188</v>
      </c>
      <c r="E276" s="23">
        <v>94</v>
      </c>
      <c r="F276" s="23">
        <v>62</v>
      </c>
      <c r="G276" s="23">
        <v>156</v>
      </c>
    </row>
    <row r="277" spans="1:7" x14ac:dyDescent="0.25">
      <c r="A277" s="23">
        <v>2022</v>
      </c>
      <c r="B277" s="23" t="s">
        <v>189</v>
      </c>
      <c r="C277" s="23" t="s">
        <v>182</v>
      </c>
      <c r="D277" s="23" t="s">
        <v>190</v>
      </c>
      <c r="E277" s="23">
        <v>102</v>
      </c>
      <c r="F277" s="23">
        <v>21</v>
      </c>
      <c r="G277" s="23">
        <v>123</v>
      </c>
    </row>
    <row r="278" spans="1:7" x14ac:dyDescent="0.25">
      <c r="A278" s="23">
        <v>2022</v>
      </c>
      <c r="B278" s="23" t="s">
        <v>189</v>
      </c>
      <c r="C278" s="23" t="s">
        <v>197</v>
      </c>
      <c r="D278" s="23" t="s">
        <v>188</v>
      </c>
      <c r="E278" s="23">
        <v>66</v>
      </c>
      <c r="F278" s="23">
        <v>19</v>
      </c>
      <c r="G278" s="23">
        <v>85</v>
      </c>
    </row>
    <row r="279" spans="1:7" x14ac:dyDescent="0.25">
      <c r="A279" s="23">
        <v>2022</v>
      </c>
      <c r="B279" s="23" t="s">
        <v>189</v>
      </c>
      <c r="C279" s="23" t="s">
        <v>197</v>
      </c>
      <c r="D279" s="23" t="s">
        <v>190</v>
      </c>
      <c r="E279" s="23">
        <v>102</v>
      </c>
      <c r="F279" s="23">
        <v>58</v>
      </c>
      <c r="G279" s="23">
        <v>160</v>
      </c>
    </row>
    <row r="280" spans="1:7" x14ac:dyDescent="0.25">
      <c r="A280" s="23">
        <v>2022</v>
      </c>
      <c r="B280" s="23" t="s">
        <v>189</v>
      </c>
      <c r="C280" s="23" t="s">
        <v>198</v>
      </c>
      <c r="D280" s="23" t="s">
        <v>188</v>
      </c>
      <c r="E280" s="23">
        <v>108</v>
      </c>
      <c r="F280" s="23">
        <v>89</v>
      </c>
      <c r="G280" s="23">
        <v>197</v>
      </c>
    </row>
    <row r="281" spans="1:7" x14ac:dyDescent="0.25">
      <c r="A281" s="23">
        <v>2022</v>
      </c>
      <c r="B281" s="23" t="s">
        <v>189</v>
      </c>
      <c r="C281" s="23" t="s">
        <v>198</v>
      </c>
      <c r="D281" s="23" t="s">
        <v>190</v>
      </c>
      <c r="E281" s="23">
        <v>179</v>
      </c>
      <c r="F281" s="23">
        <v>23</v>
      </c>
      <c r="G281" s="23">
        <v>202</v>
      </c>
    </row>
    <row r="282" spans="1:7" x14ac:dyDescent="0.25">
      <c r="A282" s="23">
        <v>2022</v>
      </c>
      <c r="B282" s="23" t="s">
        <v>189</v>
      </c>
      <c r="C282" s="23" t="s">
        <v>199</v>
      </c>
      <c r="D282" s="23" t="s">
        <v>188</v>
      </c>
      <c r="E282" s="23">
        <v>214</v>
      </c>
      <c r="F282" s="23">
        <v>48</v>
      </c>
      <c r="G282" s="23">
        <v>262</v>
      </c>
    </row>
    <row r="283" spans="1:7" x14ac:dyDescent="0.25">
      <c r="A283" s="23">
        <v>2022</v>
      </c>
      <c r="B283" s="23" t="s">
        <v>189</v>
      </c>
      <c r="C283" s="23" t="s">
        <v>199</v>
      </c>
      <c r="D283" s="23" t="s">
        <v>190</v>
      </c>
      <c r="E283" s="23">
        <v>180</v>
      </c>
      <c r="F283" s="23">
        <v>33</v>
      </c>
      <c r="G283" s="23">
        <v>213</v>
      </c>
    </row>
    <row r="284" spans="1:7" x14ac:dyDescent="0.25">
      <c r="A284" s="23">
        <v>2022</v>
      </c>
      <c r="B284" s="23" t="s">
        <v>189</v>
      </c>
      <c r="C284" s="23" t="s">
        <v>200</v>
      </c>
      <c r="D284" s="23" t="s">
        <v>188</v>
      </c>
      <c r="E284" s="23">
        <v>233</v>
      </c>
      <c r="F284" s="23">
        <v>45</v>
      </c>
      <c r="G284" s="23">
        <v>278</v>
      </c>
    </row>
    <row r="285" spans="1:7" x14ac:dyDescent="0.25">
      <c r="A285" s="23">
        <v>2022</v>
      </c>
      <c r="B285" s="23" t="s">
        <v>189</v>
      </c>
      <c r="C285" s="23" t="s">
        <v>200</v>
      </c>
      <c r="D285" s="23" t="s">
        <v>190</v>
      </c>
      <c r="E285" s="23">
        <v>169</v>
      </c>
      <c r="F285" s="23">
        <v>78</v>
      </c>
      <c r="G285" s="23">
        <v>247</v>
      </c>
    </row>
    <row r="286" spans="1:7" x14ac:dyDescent="0.25">
      <c r="A286" s="23">
        <v>2022</v>
      </c>
      <c r="B286" s="23" t="s">
        <v>189</v>
      </c>
      <c r="C286" s="23" t="s">
        <v>201</v>
      </c>
      <c r="D286" s="23" t="s">
        <v>188</v>
      </c>
      <c r="E286" s="23">
        <v>251</v>
      </c>
      <c r="F286" s="23">
        <v>22</v>
      </c>
      <c r="G286" s="23">
        <v>273</v>
      </c>
    </row>
    <row r="287" spans="1:7" x14ac:dyDescent="0.25">
      <c r="A287" s="23">
        <v>2022</v>
      </c>
      <c r="B287" s="23" t="s">
        <v>189</v>
      </c>
      <c r="C287" s="23" t="s">
        <v>201</v>
      </c>
      <c r="D287" s="23" t="s">
        <v>190</v>
      </c>
      <c r="E287" s="23">
        <v>44</v>
      </c>
      <c r="F287" s="23">
        <v>17</v>
      </c>
      <c r="G287" s="23">
        <v>61</v>
      </c>
    </row>
    <row r="288" spans="1:7" x14ac:dyDescent="0.25">
      <c r="A288" s="23">
        <v>2022</v>
      </c>
      <c r="B288" s="23" t="s">
        <v>189</v>
      </c>
      <c r="C288" s="23" t="s">
        <v>202</v>
      </c>
      <c r="D288" s="23" t="s">
        <v>188</v>
      </c>
      <c r="E288" s="23">
        <v>232</v>
      </c>
      <c r="F288" s="23">
        <v>99</v>
      </c>
      <c r="G288" s="23">
        <v>331</v>
      </c>
    </row>
    <row r="289" spans="1:7" x14ac:dyDescent="0.25">
      <c r="A289" s="23">
        <v>2022</v>
      </c>
      <c r="B289" s="23" t="s">
        <v>189</v>
      </c>
      <c r="C289" s="23" t="s">
        <v>202</v>
      </c>
      <c r="D289" s="23" t="s">
        <v>190</v>
      </c>
      <c r="E289" s="23">
        <v>187</v>
      </c>
      <c r="F289" s="23">
        <v>88</v>
      </c>
      <c r="G289" s="23">
        <v>275</v>
      </c>
    </row>
    <row r="290" spans="1:7" x14ac:dyDescent="0.25">
      <c r="A290" s="23">
        <v>2022</v>
      </c>
      <c r="B290" s="23" t="s">
        <v>191</v>
      </c>
      <c r="C290" s="23" t="s">
        <v>181</v>
      </c>
      <c r="D290" s="23" t="s">
        <v>188</v>
      </c>
      <c r="E290" s="23">
        <v>159</v>
      </c>
      <c r="F290" s="23">
        <v>81</v>
      </c>
      <c r="G290" s="23">
        <v>240</v>
      </c>
    </row>
    <row r="291" spans="1:7" x14ac:dyDescent="0.25">
      <c r="A291" s="23">
        <v>2022</v>
      </c>
      <c r="B291" s="23" t="s">
        <v>191</v>
      </c>
      <c r="C291" s="23" t="s">
        <v>181</v>
      </c>
      <c r="D291" s="23" t="s">
        <v>190</v>
      </c>
      <c r="E291" s="23">
        <v>142</v>
      </c>
      <c r="F291" s="23">
        <v>55</v>
      </c>
      <c r="G291" s="23">
        <v>197</v>
      </c>
    </row>
    <row r="292" spans="1:7" x14ac:dyDescent="0.25">
      <c r="A292" s="23">
        <v>2022</v>
      </c>
      <c r="B292" s="23" t="s">
        <v>191</v>
      </c>
      <c r="C292" s="23" t="s">
        <v>182</v>
      </c>
      <c r="D292" s="23" t="s">
        <v>188</v>
      </c>
      <c r="E292" s="23">
        <v>49</v>
      </c>
      <c r="F292" s="23">
        <v>11</v>
      </c>
      <c r="G292" s="23">
        <v>60</v>
      </c>
    </row>
    <row r="293" spans="1:7" x14ac:dyDescent="0.25">
      <c r="A293" s="23">
        <v>2022</v>
      </c>
      <c r="B293" s="23" t="s">
        <v>191</v>
      </c>
      <c r="C293" s="23" t="s">
        <v>182</v>
      </c>
      <c r="D293" s="23" t="s">
        <v>190</v>
      </c>
      <c r="E293" s="23">
        <v>187</v>
      </c>
      <c r="F293" s="23">
        <v>49</v>
      </c>
      <c r="G293" s="23">
        <v>236</v>
      </c>
    </row>
    <row r="294" spans="1:7" x14ac:dyDescent="0.25">
      <c r="A294" s="23">
        <v>2022</v>
      </c>
      <c r="B294" s="23" t="s">
        <v>191</v>
      </c>
      <c r="C294" s="23" t="s">
        <v>197</v>
      </c>
      <c r="D294" s="23" t="s">
        <v>188</v>
      </c>
      <c r="E294" s="23">
        <v>131</v>
      </c>
      <c r="F294" s="23">
        <v>15</v>
      </c>
      <c r="G294" s="23">
        <v>146</v>
      </c>
    </row>
    <row r="295" spans="1:7" x14ac:dyDescent="0.25">
      <c r="A295" s="23">
        <v>2022</v>
      </c>
      <c r="B295" s="23" t="s">
        <v>191</v>
      </c>
      <c r="C295" s="23" t="s">
        <v>197</v>
      </c>
      <c r="D295" s="23" t="s">
        <v>190</v>
      </c>
      <c r="E295" s="23">
        <v>74</v>
      </c>
      <c r="F295" s="23">
        <v>96</v>
      </c>
      <c r="G295" s="23">
        <v>170</v>
      </c>
    </row>
    <row r="296" spans="1:7" x14ac:dyDescent="0.25">
      <c r="A296" s="23">
        <v>2022</v>
      </c>
      <c r="B296" s="23" t="s">
        <v>191</v>
      </c>
      <c r="C296" s="23" t="s">
        <v>198</v>
      </c>
      <c r="D296" s="23" t="s">
        <v>188</v>
      </c>
      <c r="E296" s="23">
        <v>63</v>
      </c>
      <c r="F296" s="23">
        <v>74</v>
      </c>
      <c r="G296" s="23">
        <v>137</v>
      </c>
    </row>
    <row r="297" spans="1:7" x14ac:dyDescent="0.25">
      <c r="A297" s="23">
        <v>2022</v>
      </c>
      <c r="B297" s="23" t="s">
        <v>191</v>
      </c>
      <c r="C297" s="23" t="s">
        <v>198</v>
      </c>
      <c r="D297" s="23" t="s">
        <v>190</v>
      </c>
      <c r="E297" s="23">
        <v>231</v>
      </c>
      <c r="F297" s="23">
        <v>56</v>
      </c>
      <c r="G297" s="23">
        <v>287</v>
      </c>
    </row>
    <row r="298" spans="1:7" x14ac:dyDescent="0.25">
      <c r="A298" s="23">
        <v>2022</v>
      </c>
      <c r="B298" s="23" t="s">
        <v>191</v>
      </c>
      <c r="C298" s="23" t="s">
        <v>199</v>
      </c>
      <c r="D298" s="23" t="s">
        <v>188</v>
      </c>
      <c r="E298" s="23">
        <v>228</v>
      </c>
      <c r="F298" s="23">
        <v>66</v>
      </c>
      <c r="G298" s="23">
        <v>294</v>
      </c>
    </row>
    <row r="299" spans="1:7" x14ac:dyDescent="0.25">
      <c r="A299" s="23">
        <v>2022</v>
      </c>
      <c r="B299" s="23" t="s">
        <v>191</v>
      </c>
      <c r="C299" s="23" t="s">
        <v>199</v>
      </c>
      <c r="D299" s="23" t="s">
        <v>190</v>
      </c>
      <c r="E299" s="23">
        <v>49</v>
      </c>
      <c r="F299" s="23">
        <v>11</v>
      </c>
      <c r="G299" s="23">
        <v>60</v>
      </c>
    </row>
    <row r="300" spans="1:7" x14ac:dyDescent="0.25">
      <c r="A300" s="23">
        <v>2022</v>
      </c>
      <c r="B300" s="23" t="s">
        <v>191</v>
      </c>
      <c r="C300" s="23" t="s">
        <v>200</v>
      </c>
      <c r="D300" s="23" t="s">
        <v>188</v>
      </c>
      <c r="E300" s="23">
        <v>104</v>
      </c>
      <c r="F300" s="23">
        <v>110</v>
      </c>
      <c r="G300" s="23">
        <v>214</v>
      </c>
    </row>
    <row r="301" spans="1:7" x14ac:dyDescent="0.25">
      <c r="A301" s="23">
        <v>2022</v>
      </c>
      <c r="B301" s="23" t="s">
        <v>191</v>
      </c>
      <c r="C301" s="23" t="s">
        <v>200</v>
      </c>
      <c r="D301" s="23" t="s">
        <v>190</v>
      </c>
      <c r="E301" s="23">
        <v>228</v>
      </c>
      <c r="F301" s="23">
        <v>83</v>
      </c>
      <c r="G301" s="23">
        <v>311</v>
      </c>
    </row>
    <row r="302" spans="1:7" x14ac:dyDescent="0.25">
      <c r="A302" s="23">
        <v>2022</v>
      </c>
      <c r="B302" s="23" t="s">
        <v>191</v>
      </c>
      <c r="C302" s="23" t="s">
        <v>201</v>
      </c>
      <c r="D302" s="23" t="s">
        <v>188</v>
      </c>
      <c r="E302" s="23">
        <v>217</v>
      </c>
      <c r="F302" s="23">
        <v>65</v>
      </c>
      <c r="G302" s="23">
        <v>282</v>
      </c>
    </row>
    <row r="303" spans="1:7" x14ac:dyDescent="0.25">
      <c r="A303" s="23">
        <v>2022</v>
      </c>
      <c r="B303" s="23" t="s">
        <v>191</v>
      </c>
      <c r="C303" s="23" t="s">
        <v>201</v>
      </c>
      <c r="D303" s="23" t="s">
        <v>190</v>
      </c>
      <c r="E303" s="23">
        <v>70</v>
      </c>
      <c r="F303" s="23">
        <v>30</v>
      </c>
      <c r="G303" s="23">
        <v>100</v>
      </c>
    </row>
    <row r="304" spans="1:7" x14ac:dyDescent="0.25">
      <c r="A304" s="23">
        <v>2022</v>
      </c>
      <c r="B304" s="23" t="s">
        <v>191</v>
      </c>
      <c r="C304" s="23" t="s">
        <v>202</v>
      </c>
      <c r="D304" s="23" t="s">
        <v>188</v>
      </c>
      <c r="E304" s="23">
        <v>112</v>
      </c>
      <c r="F304" s="23">
        <v>46</v>
      </c>
      <c r="G304" s="23">
        <v>158</v>
      </c>
    </row>
    <row r="305" spans="1:7" x14ac:dyDescent="0.25">
      <c r="A305" s="23">
        <v>2022</v>
      </c>
      <c r="B305" s="23" t="s">
        <v>191</v>
      </c>
      <c r="C305" s="23" t="s">
        <v>202</v>
      </c>
      <c r="D305" s="23" t="s">
        <v>190</v>
      </c>
      <c r="E305" s="23">
        <v>213</v>
      </c>
      <c r="F305" s="23">
        <v>69</v>
      </c>
      <c r="G305" s="23">
        <v>282</v>
      </c>
    </row>
    <row r="306" spans="1:7" x14ac:dyDescent="0.25">
      <c r="A306" s="23">
        <v>2022</v>
      </c>
      <c r="B306" s="23" t="s">
        <v>193</v>
      </c>
      <c r="C306" s="23" t="s">
        <v>181</v>
      </c>
      <c r="D306" s="23" t="s">
        <v>188</v>
      </c>
      <c r="E306" s="23">
        <v>194</v>
      </c>
      <c r="F306" s="23">
        <v>63</v>
      </c>
      <c r="G306" s="23">
        <v>257</v>
      </c>
    </row>
    <row r="307" spans="1:7" x14ac:dyDescent="0.25">
      <c r="A307" s="23">
        <v>2022</v>
      </c>
      <c r="B307" s="23" t="s">
        <v>193</v>
      </c>
      <c r="C307" s="23" t="s">
        <v>181</v>
      </c>
      <c r="D307" s="23" t="s">
        <v>190</v>
      </c>
      <c r="E307" s="23">
        <v>87</v>
      </c>
      <c r="F307" s="23">
        <v>61</v>
      </c>
      <c r="G307" s="23">
        <v>148</v>
      </c>
    </row>
    <row r="308" spans="1:7" x14ac:dyDescent="0.25">
      <c r="A308" s="23">
        <v>2022</v>
      </c>
      <c r="B308" s="23" t="s">
        <v>193</v>
      </c>
      <c r="C308" s="23" t="s">
        <v>182</v>
      </c>
      <c r="D308" s="23" t="s">
        <v>188</v>
      </c>
      <c r="E308" s="23">
        <v>185</v>
      </c>
      <c r="F308" s="23">
        <v>107</v>
      </c>
      <c r="G308" s="23">
        <v>292</v>
      </c>
    </row>
    <row r="309" spans="1:7" x14ac:dyDescent="0.25">
      <c r="A309" s="23">
        <v>2022</v>
      </c>
      <c r="B309" s="23" t="s">
        <v>193</v>
      </c>
      <c r="C309" s="23" t="s">
        <v>182</v>
      </c>
      <c r="D309" s="23" t="s">
        <v>190</v>
      </c>
      <c r="E309" s="23">
        <v>89</v>
      </c>
      <c r="F309" s="23">
        <v>48</v>
      </c>
      <c r="G309" s="23">
        <v>137</v>
      </c>
    </row>
    <row r="310" spans="1:7" x14ac:dyDescent="0.25">
      <c r="A310" s="23">
        <v>2022</v>
      </c>
      <c r="B310" s="23" t="s">
        <v>193</v>
      </c>
      <c r="C310" s="23" t="s">
        <v>197</v>
      </c>
      <c r="D310" s="23" t="s">
        <v>188</v>
      </c>
      <c r="E310" s="23">
        <v>81</v>
      </c>
      <c r="F310" s="23">
        <v>13</v>
      </c>
      <c r="G310" s="23">
        <v>94</v>
      </c>
    </row>
    <row r="311" spans="1:7" x14ac:dyDescent="0.25">
      <c r="A311" s="23">
        <v>2022</v>
      </c>
      <c r="B311" s="23" t="s">
        <v>193</v>
      </c>
      <c r="C311" s="23" t="s">
        <v>197</v>
      </c>
      <c r="D311" s="23" t="s">
        <v>190</v>
      </c>
      <c r="E311" s="23">
        <v>157</v>
      </c>
      <c r="F311" s="23">
        <v>88</v>
      </c>
      <c r="G311" s="23">
        <v>245</v>
      </c>
    </row>
    <row r="312" spans="1:7" x14ac:dyDescent="0.25">
      <c r="A312" s="23">
        <v>2022</v>
      </c>
      <c r="B312" s="23" t="s">
        <v>193</v>
      </c>
      <c r="C312" s="23" t="s">
        <v>198</v>
      </c>
      <c r="D312" s="23" t="s">
        <v>188</v>
      </c>
      <c r="E312" s="23">
        <v>112</v>
      </c>
      <c r="F312" s="23">
        <v>108</v>
      </c>
      <c r="G312" s="23">
        <v>220</v>
      </c>
    </row>
    <row r="313" spans="1:7" x14ac:dyDescent="0.25">
      <c r="A313" s="23">
        <v>2022</v>
      </c>
      <c r="B313" s="23" t="s">
        <v>193</v>
      </c>
      <c r="C313" s="23" t="s">
        <v>198</v>
      </c>
      <c r="D313" s="23" t="s">
        <v>190</v>
      </c>
      <c r="E313" s="23">
        <v>247</v>
      </c>
      <c r="F313" s="23">
        <v>95</v>
      </c>
      <c r="G313" s="23">
        <v>342</v>
      </c>
    </row>
    <row r="314" spans="1:7" x14ac:dyDescent="0.25">
      <c r="A314" s="23">
        <v>2022</v>
      </c>
      <c r="B314" s="23" t="s">
        <v>193</v>
      </c>
      <c r="C314" s="23" t="s">
        <v>199</v>
      </c>
      <c r="D314" s="23" t="s">
        <v>188</v>
      </c>
      <c r="E314" s="23">
        <v>145</v>
      </c>
      <c r="F314" s="23">
        <v>28</v>
      </c>
      <c r="G314" s="23">
        <v>173</v>
      </c>
    </row>
    <row r="315" spans="1:7" x14ac:dyDescent="0.25">
      <c r="A315" s="23">
        <v>2022</v>
      </c>
      <c r="B315" s="23" t="s">
        <v>193</v>
      </c>
      <c r="C315" s="23" t="s">
        <v>199</v>
      </c>
      <c r="D315" s="23" t="s">
        <v>190</v>
      </c>
      <c r="E315" s="23">
        <v>180</v>
      </c>
      <c r="F315" s="23">
        <v>93</v>
      </c>
      <c r="G315" s="23">
        <v>273</v>
      </c>
    </row>
    <row r="316" spans="1:7" x14ac:dyDescent="0.25">
      <c r="A316" s="23">
        <v>2022</v>
      </c>
      <c r="B316" s="23" t="s">
        <v>193</v>
      </c>
      <c r="C316" s="23" t="s">
        <v>200</v>
      </c>
      <c r="D316" s="23" t="s">
        <v>188</v>
      </c>
      <c r="E316" s="23">
        <v>137</v>
      </c>
      <c r="F316" s="23">
        <v>50</v>
      </c>
      <c r="G316" s="23">
        <v>187</v>
      </c>
    </row>
    <row r="317" spans="1:7" x14ac:dyDescent="0.25">
      <c r="A317" s="23">
        <v>2022</v>
      </c>
      <c r="B317" s="23" t="s">
        <v>193</v>
      </c>
      <c r="C317" s="23" t="s">
        <v>200</v>
      </c>
      <c r="D317" s="23" t="s">
        <v>190</v>
      </c>
      <c r="E317" s="23">
        <v>61</v>
      </c>
      <c r="F317" s="23">
        <v>48</v>
      </c>
      <c r="G317" s="23">
        <v>109</v>
      </c>
    </row>
    <row r="318" spans="1:7" x14ac:dyDescent="0.25">
      <c r="A318" s="23">
        <v>2022</v>
      </c>
      <c r="B318" s="23" t="s">
        <v>193</v>
      </c>
      <c r="C318" s="23" t="s">
        <v>201</v>
      </c>
      <c r="D318" s="23" t="s">
        <v>188</v>
      </c>
      <c r="E318" s="23">
        <v>159</v>
      </c>
      <c r="F318" s="23">
        <v>39</v>
      </c>
      <c r="G318" s="23">
        <v>198</v>
      </c>
    </row>
    <row r="319" spans="1:7" x14ac:dyDescent="0.25">
      <c r="A319" s="23">
        <v>2022</v>
      </c>
      <c r="B319" s="23" t="s">
        <v>193</v>
      </c>
      <c r="C319" s="23" t="s">
        <v>201</v>
      </c>
      <c r="D319" s="23" t="s">
        <v>190</v>
      </c>
      <c r="E319" s="23">
        <v>185</v>
      </c>
      <c r="F319" s="23">
        <v>17</v>
      </c>
      <c r="G319" s="23">
        <v>202</v>
      </c>
    </row>
    <row r="320" spans="1:7" x14ac:dyDescent="0.25">
      <c r="A320" s="23">
        <v>2022</v>
      </c>
      <c r="B320" s="23" t="s">
        <v>193</v>
      </c>
      <c r="C320" s="23" t="s">
        <v>202</v>
      </c>
      <c r="D320" s="23" t="s">
        <v>188</v>
      </c>
      <c r="E320" s="23">
        <v>205</v>
      </c>
      <c r="F320" s="23">
        <v>97</v>
      </c>
      <c r="G320" s="23">
        <v>302</v>
      </c>
    </row>
    <row r="321" spans="1:7" x14ac:dyDescent="0.25">
      <c r="A321" s="23">
        <v>2022</v>
      </c>
      <c r="B321" s="23" t="s">
        <v>193</v>
      </c>
      <c r="C321" s="23" t="s">
        <v>202</v>
      </c>
      <c r="D321" s="23" t="s">
        <v>190</v>
      </c>
      <c r="E321" s="23">
        <v>230</v>
      </c>
      <c r="F321" s="23">
        <v>75</v>
      </c>
      <c r="G321" s="23">
        <v>305</v>
      </c>
    </row>
    <row r="322" spans="1:7" x14ac:dyDescent="0.25">
      <c r="A322" s="23">
        <v>2022</v>
      </c>
      <c r="B322" s="23" t="s">
        <v>192</v>
      </c>
      <c r="C322" s="23" t="s">
        <v>181</v>
      </c>
      <c r="D322" s="23" t="s">
        <v>188</v>
      </c>
      <c r="E322" s="23">
        <v>55</v>
      </c>
      <c r="F322" s="23">
        <v>108</v>
      </c>
      <c r="G322" s="23">
        <v>163</v>
      </c>
    </row>
    <row r="323" spans="1:7" x14ac:dyDescent="0.25">
      <c r="A323" s="23">
        <v>2022</v>
      </c>
      <c r="B323" s="23" t="s">
        <v>192</v>
      </c>
      <c r="C323" s="23" t="s">
        <v>181</v>
      </c>
      <c r="D323" s="23" t="s">
        <v>190</v>
      </c>
      <c r="E323" s="23">
        <v>67</v>
      </c>
      <c r="F323" s="23">
        <v>23</v>
      </c>
      <c r="G323" s="23">
        <v>90</v>
      </c>
    </row>
    <row r="324" spans="1:7" x14ac:dyDescent="0.25">
      <c r="A324" s="23">
        <v>2022</v>
      </c>
      <c r="B324" s="23" t="s">
        <v>192</v>
      </c>
      <c r="C324" s="23" t="s">
        <v>182</v>
      </c>
      <c r="D324" s="23" t="s">
        <v>188</v>
      </c>
      <c r="E324" s="23">
        <v>135</v>
      </c>
      <c r="F324" s="23">
        <v>22</v>
      </c>
      <c r="G324" s="23">
        <v>157</v>
      </c>
    </row>
    <row r="325" spans="1:7" x14ac:dyDescent="0.25">
      <c r="A325" s="23">
        <v>2022</v>
      </c>
      <c r="B325" s="23" t="s">
        <v>192</v>
      </c>
      <c r="C325" s="23" t="s">
        <v>182</v>
      </c>
      <c r="D325" s="23" t="s">
        <v>190</v>
      </c>
      <c r="E325" s="23">
        <v>198</v>
      </c>
      <c r="F325" s="23">
        <v>14</v>
      </c>
      <c r="G325" s="23">
        <v>212</v>
      </c>
    </row>
    <row r="326" spans="1:7" x14ac:dyDescent="0.25">
      <c r="A326" s="23">
        <v>2022</v>
      </c>
      <c r="B326" s="23" t="s">
        <v>192</v>
      </c>
      <c r="C326" s="23" t="s">
        <v>197</v>
      </c>
      <c r="D326" s="23" t="s">
        <v>188</v>
      </c>
      <c r="E326" s="23">
        <v>205</v>
      </c>
      <c r="F326" s="23">
        <v>31</v>
      </c>
      <c r="G326" s="23">
        <v>236</v>
      </c>
    </row>
    <row r="327" spans="1:7" x14ac:dyDescent="0.25">
      <c r="A327" s="23">
        <v>2022</v>
      </c>
      <c r="B327" s="23" t="s">
        <v>192</v>
      </c>
      <c r="C327" s="23" t="s">
        <v>197</v>
      </c>
      <c r="D327" s="23" t="s">
        <v>190</v>
      </c>
      <c r="E327" s="23">
        <v>115</v>
      </c>
      <c r="F327" s="23">
        <v>89</v>
      </c>
      <c r="G327" s="23">
        <v>204</v>
      </c>
    </row>
    <row r="328" spans="1:7" x14ac:dyDescent="0.25">
      <c r="A328" s="23">
        <v>2022</v>
      </c>
      <c r="B328" s="23" t="s">
        <v>192</v>
      </c>
      <c r="C328" s="23" t="s">
        <v>198</v>
      </c>
      <c r="D328" s="23" t="s">
        <v>188</v>
      </c>
      <c r="E328" s="23">
        <v>139</v>
      </c>
      <c r="F328" s="23">
        <v>79</v>
      </c>
      <c r="G328" s="23">
        <v>218</v>
      </c>
    </row>
    <row r="329" spans="1:7" x14ac:dyDescent="0.25">
      <c r="A329" s="23">
        <v>2022</v>
      </c>
      <c r="B329" s="23" t="s">
        <v>192</v>
      </c>
      <c r="C329" s="23" t="s">
        <v>198</v>
      </c>
      <c r="D329" s="23" t="s">
        <v>190</v>
      </c>
      <c r="E329" s="23">
        <v>259</v>
      </c>
      <c r="F329" s="23">
        <v>42</v>
      </c>
      <c r="G329" s="23">
        <v>301</v>
      </c>
    </row>
    <row r="330" spans="1:7" x14ac:dyDescent="0.25">
      <c r="A330" s="23">
        <v>2022</v>
      </c>
      <c r="B330" s="23" t="s">
        <v>192</v>
      </c>
      <c r="C330" s="23" t="s">
        <v>199</v>
      </c>
      <c r="D330" s="23" t="s">
        <v>188</v>
      </c>
      <c r="E330" s="23">
        <v>99</v>
      </c>
      <c r="F330" s="23">
        <v>104</v>
      </c>
      <c r="G330" s="23">
        <v>203</v>
      </c>
    </row>
    <row r="331" spans="1:7" x14ac:dyDescent="0.25">
      <c r="A331" s="23">
        <v>2022</v>
      </c>
      <c r="B331" s="23" t="s">
        <v>192</v>
      </c>
      <c r="C331" s="23" t="s">
        <v>199</v>
      </c>
      <c r="D331" s="23" t="s">
        <v>190</v>
      </c>
      <c r="E331" s="23">
        <v>53</v>
      </c>
      <c r="F331" s="23">
        <v>60</v>
      </c>
      <c r="G331" s="23">
        <v>113</v>
      </c>
    </row>
    <row r="332" spans="1:7" x14ac:dyDescent="0.25">
      <c r="A332" s="23">
        <v>2022</v>
      </c>
      <c r="B332" s="23" t="s">
        <v>192</v>
      </c>
      <c r="C332" s="23" t="s">
        <v>200</v>
      </c>
      <c r="D332" s="23" t="s">
        <v>188</v>
      </c>
      <c r="E332" s="23">
        <v>165</v>
      </c>
      <c r="F332" s="23">
        <v>52</v>
      </c>
      <c r="G332" s="23">
        <v>217</v>
      </c>
    </row>
    <row r="333" spans="1:7" x14ac:dyDescent="0.25">
      <c r="A333" s="23">
        <v>2022</v>
      </c>
      <c r="B333" s="23" t="s">
        <v>192</v>
      </c>
      <c r="C333" s="23" t="s">
        <v>200</v>
      </c>
      <c r="D333" s="23" t="s">
        <v>190</v>
      </c>
      <c r="E333" s="23">
        <v>209</v>
      </c>
      <c r="F333" s="23">
        <v>31</v>
      </c>
      <c r="G333" s="23">
        <v>240</v>
      </c>
    </row>
    <row r="334" spans="1:7" x14ac:dyDescent="0.25">
      <c r="A334" s="23">
        <v>2022</v>
      </c>
      <c r="B334" s="23" t="s">
        <v>192</v>
      </c>
      <c r="C334" s="23" t="s">
        <v>201</v>
      </c>
      <c r="D334" s="23" t="s">
        <v>188</v>
      </c>
      <c r="E334" s="23">
        <v>161</v>
      </c>
      <c r="F334" s="23">
        <v>21</v>
      </c>
      <c r="G334" s="23">
        <v>182</v>
      </c>
    </row>
    <row r="335" spans="1:7" x14ac:dyDescent="0.25">
      <c r="A335" s="23">
        <v>2022</v>
      </c>
      <c r="B335" s="23" t="s">
        <v>192</v>
      </c>
      <c r="C335" s="23" t="s">
        <v>201</v>
      </c>
      <c r="D335" s="23" t="s">
        <v>190</v>
      </c>
      <c r="E335" s="23">
        <v>214</v>
      </c>
      <c r="F335" s="23">
        <v>93</v>
      </c>
      <c r="G335" s="23">
        <v>307</v>
      </c>
    </row>
    <row r="336" spans="1:7" x14ac:dyDescent="0.25">
      <c r="A336" s="23">
        <v>2022</v>
      </c>
      <c r="B336" s="23" t="s">
        <v>192</v>
      </c>
      <c r="C336" s="23" t="s">
        <v>202</v>
      </c>
      <c r="D336" s="23" t="s">
        <v>188</v>
      </c>
      <c r="E336" s="23">
        <v>175</v>
      </c>
      <c r="F336" s="23">
        <v>24</v>
      </c>
      <c r="G336" s="23">
        <v>199</v>
      </c>
    </row>
    <row r="337" spans="1:7" x14ac:dyDescent="0.25">
      <c r="A337" s="23">
        <v>2022</v>
      </c>
      <c r="B337" s="23" t="s">
        <v>192</v>
      </c>
      <c r="C337" s="23" t="s">
        <v>202</v>
      </c>
      <c r="D337" s="23" t="s">
        <v>190</v>
      </c>
      <c r="E337" s="23">
        <v>242</v>
      </c>
      <c r="F337" s="23">
        <v>53</v>
      </c>
      <c r="G337" s="23">
        <v>295</v>
      </c>
    </row>
    <row r="338" spans="1:7" x14ac:dyDescent="0.25">
      <c r="A338" s="23">
        <v>2022</v>
      </c>
      <c r="B338" s="23" t="s">
        <v>196</v>
      </c>
      <c r="C338" s="23" t="s">
        <v>181</v>
      </c>
      <c r="D338" s="23" t="s">
        <v>188</v>
      </c>
      <c r="E338" s="23">
        <v>145</v>
      </c>
      <c r="F338" s="23">
        <v>77</v>
      </c>
      <c r="G338" s="23">
        <v>222</v>
      </c>
    </row>
    <row r="339" spans="1:7" x14ac:dyDescent="0.25">
      <c r="A339" s="23">
        <v>2022</v>
      </c>
      <c r="B339" s="23" t="s">
        <v>196</v>
      </c>
      <c r="C339" s="23" t="s">
        <v>181</v>
      </c>
      <c r="D339" s="23" t="s">
        <v>190</v>
      </c>
      <c r="E339" s="23">
        <v>139</v>
      </c>
      <c r="F339" s="23">
        <v>19</v>
      </c>
      <c r="G339" s="23">
        <v>158</v>
      </c>
    </row>
    <row r="340" spans="1:7" x14ac:dyDescent="0.25">
      <c r="A340" s="23">
        <v>2022</v>
      </c>
      <c r="B340" s="23" t="s">
        <v>196</v>
      </c>
      <c r="C340" s="23" t="s">
        <v>182</v>
      </c>
      <c r="D340" s="23" t="s">
        <v>188</v>
      </c>
      <c r="E340" s="23">
        <v>238</v>
      </c>
      <c r="F340" s="23">
        <v>70</v>
      </c>
      <c r="G340" s="23">
        <v>308</v>
      </c>
    </row>
    <row r="341" spans="1:7" x14ac:dyDescent="0.25">
      <c r="A341" s="23">
        <v>2022</v>
      </c>
      <c r="B341" s="23" t="s">
        <v>196</v>
      </c>
      <c r="C341" s="23" t="s">
        <v>182</v>
      </c>
      <c r="D341" s="23" t="s">
        <v>190</v>
      </c>
      <c r="E341" s="23">
        <v>235</v>
      </c>
      <c r="F341" s="23">
        <v>98</v>
      </c>
      <c r="G341" s="23">
        <v>333</v>
      </c>
    </row>
    <row r="342" spans="1:7" x14ac:dyDescent="0.25">
      <c r="A342" s="23">
        <v>2022</v>
      </c>
      <c r="B342" s="23" t="s">
        <v>196</v>
      </c>
      <c r="C342" s="23" t="s">
        <v>197</v>
      </c>
      <c r="D342" s="23" t="s">
        <v>188</v>
      </c>
      <c r="E342" s="23">
        <v>223</v>
      </c>
      <c r="F342" s="23">
        <v>105</v>
      </c>
      <c r="G342" s="23">
        <v>328</v>
      </c>
    </row>
    <row r="343" spans="1:7" x14ac:dyDescent="0.25">
      <c r="A343" s="23">
        <v>2022</v>
      </c>
      <c r="B343" s="23" t="s">
        <v>196</v>
      </c>
      <c r="C343" s="23" t="s">
        <v>197</v>
      </c>
      <c r="D343" s="23" t="s">
        <v>190</v>
      </c>
      <c r="E343" s="23">
        <v>248</v>
      </c>
      <c r="F343" s="23">
        <v>44</v>
      </c>
      <c r="G343" s="23">
        <v>292</v>
      </c>
    </row>
    <row r="344" spans="1:7" x14ac:dyDescent="0.25">
      <c r="A344" s="23">
        <v>2022</v>
      </c>
      <c r="B344" s="23" t="s">
        <v>196</v>
      </c>
      <c r="C344" s="23" t="s">
        <v>198</v>
      </c>
      <c r="D344" s="23" t="s">
        <v>188</v>
      </c>
      <c r="E344" s="23">
        <v>175</v>
      </c>
      <c r="F344" s="23">
        <v>96</v>
      </c>
      <c r="G344" s="23">
        <v>271</v>
      </c>
    </row>
    <row r="345" spans="1:7" x14ac:dyDescent="0.25">
      <c r="A345" s="23">
        <v>2022</v>
      </c>
      <c r="B345" s="23" t="s">
        <v>196</v>
      </c>
      <c r="C345" s="23" t="s">
        <v>198</v>
      </c>
      <c r="D345" s="23" t="s">
        <v>190</v>
      </c>
      <c r="E345" s="23">
        <v>177</v>
      </c>
      <c r="F345" s="23">
        <v>45</v>
      </c>
      <c r="G345" s="23">
        <v>222</v>
      </c>
    </row>
    <row r="346" spans="1:7" x14ac:dyDescent="0.25">
      <c r="A346" s="23">
        <v>2022</v>
      </c>
      <c r="B346" s="23" t="s">
        <v>196</v>
      </c>
      <c r="C346" s="23" t="s">
        <v>199</v>
      </c>
      <c r="D346" s="23" t="s">
        <v>188</v>
      </c>
      <c r="E346" s="23">
        <v>228</v>
      </c>
      <c r="F346" s="23">
        <v>58</v>
      </c>
      <c r="G346" s="23">
        <v>286</v>
      </c>
    </row>
    <row r="347" spans="1:7" x14ac:dyDescent="0.25">
      <c r="A347" s="23">
        <v>2022</v>
      </c>
      <c r="B347" s="23" t="s">
        <v>196</v>
      </c>
      <c r="C347" s="23" t="s">
        <v>199</v>
      </c>
      <c r="D347" s="23" t="s">
        <v>190</v>
      </c>
      <c r="E347" s="23">
        <v>57</v>
      </c>
      <c r="F347" s="23">
        <v>88</v>
      </c>
      <c r="G347" s="23">
        <v>145</v>
      </c>
    </row>
    <row r="348" spans="1:7" x14ac:dyDescent="0.25">
      <c r="A348" s="23">
        <v>2022</v>
      </c>
      <c r="B348" s="23" t="s">
        <v>196</v>
      </c>
      <c r="C348" s="23" t="s">
        <v>200</v>
      </c>
      <c r="D348" s="23" t="s">
        <v>188</v>
      </c>
      <c r="E348" s="23">
        <v>50</v>
      </c>
      <c r="F348" s="23">
        <v>46</v>
      </c>
      <c r="G348" s="23">
        <v>96</v>
      </c>
    </row>
    <row r="349" spans="1:7" x14ac:dyDescent="0.25">
      <c r="A349" s="23">
        <v>2022</v>
      </c>
      <c r="B349" s="23" t="s">
        <v>196</v>
      </c>
      <c r="C349" s="23" t="s">
        <v>200</v>
      </c>
      <c r="D349" s="23" t="s">
        <v>190</v>
      </c>
      <c r="E349" s="23">
        <v>86</v>
      </c>
      <c r="F349" s="23">
        <v>43</v>
      </c>
      <c r="G349" s="23">
        <v>129</v>
      </c>
    </row>
    <row r="350" spans="1:7" x14ac:dyDescent="0.25">
      <c r="A350" s="23">
        <v>2022</v>
      </c>
      <c r="B350" s="23" t="s">
        <v>196</v>
      </c>
      <c r="C350" s="23" t="s">
        <v>201</v>
      </c>
      <c r="D350" s="23" t="s">
        <v>188</v>
      </c>
      <c r="E350" s="23">
        <v>214</v>
      </c>
      <c r="F350" s="23">
        <v>14</v>
      </c>
      <c r="G350" s="23">
        <v>228</v>
      </c>
    </row>
    <row r="351" spans="1:7" x14ac:dyDescent="0.25">
      <c r="A351" s="23">
        <v>2022</v>
      </c>
      <c r="B351" s="23" t="s">
        <v>196</v>
      </c>
      <c r="C351" s="23" t="s">
        <v>201</v>
      </c>
      <c r="D351" s="23" t="s">
        <v>190</v>
      </c>
      <c r="E351" s="23">
        <v>83</v>
      </c>
      <c r="F351" s="23">
        <v>102</v>
      </c>
      <c r="G351" s="23">
        <v>185</v>
      </c>
    </row>
    <row r="352" spans="1:7" x14ac:dyDescent="0.25">
      <c r="A352" s="23">
        <v>2022</v>
      </c>
      <c r="B352" s="23" t="s">
        <v>196</v>
      </c>
      <c r="C352" s="23" t="s">
        <v>202</v>
      </c>
      <c r="D352" s="23" t="s">
        <v>188</v>
      </c>
      <c r="E352" s="23">
        <v>77</v>
      </c>
      <c r="F352" s="23">
        <v>22</v>
      </c>
      <c r="G352" s="23">
        <v>99</v>
      </c>
    </row>
    <row r="353" spans="1:7" x14ac:dyDescent="0.25">
      <c r="A353" s="23">
        <v>2022</v>
      </c>
      <c r="B353" s="23" t="s">
        <v>196</v>
      </c>
      <c r="C353" s="23" t="s">
        <v>202</v>
      </c>
      <c r="D353" s="23" t="s">
        <v>190</v>
      </c>
      <c r="E353" s="23">
        <v>69</v>
      </c>
      <c r="F353" s="23">
        <v>43</v>
      </c>
      <c r="G353" s="23">
        <v>112</v>
      </c>
    </row>
    <row r="354" spans="1:7" x14ac:dyDescent="0.25">
      <c r="A354" s="23">
        <v>2022</v>
      </c>
      <c r="B354" s="23" t="s">
        <v>194</v>
      </c>
      <c r="C354" s="23" t="s">
        <v>181</v>
      </c>
      <c r="D354" s="23" t="s">
        <v>188</v>
      </c>
      <c r="E354" s="23">
        <v>207</v>
      </c>
      <c r="F354" s="23">
        <v>107</v>
      </c>
      <c r="G354" s="23">
        <v>314</v>
      </c>
    </row>
    <row r="355" spans="1:7" x14ac:dyDescent="0.25">
      <c r="A355" s="23">
        <v>2022</v>
      </c>
      <c r="B355" s="23" t="s">
        <v>194</v>
      </c>
      <c r="C355" s="23" t="s">
        <v>181</v>
      </c>
      <c r="D355" s="23" t="s">
        <v>190</v>
      </c>
      <c r="E355" s="23">
        <v>232</v>
      </c>
      <c r="F355" s="23">
        <v>84</v>
      </c>
      <c r="G355" s="23">
        <v>316</v>
      </c>
    </row>
    <row r="356" spans="1:7" x14ac:dyDescent="0.25">
      <c r="A356" s="23">
        <v>2022</v>
      </c>
      <c r="B356" s="23" t="s">
        <v>194</v>
      </c>
      <c r="C356" s="23" t="s">
        <v>182</v>
      </c>
      <c r="D356" s="23" t="s">
        <v>188</v>
      </c>
      <c r="E356" s="23">
        <v>239</v>
      </c>
      <c r="F356" s="23">
        <v>82</v>
      </c>
      <c r="G356" s="23">
        <v>321</v>
      </c>
    </row>
    <row r="357" spans="1:7" x14ac:dyDescent="0.25">
      <c r="A357" s="23">
        <v>2022</v>
      </c>
      <c r="B357" s="23" t="s">
        <v>194</v>
      </c>
      <c r="C357" s="23" t="s">
        <v>182</v>
      </c>
      <c r="D357" s="23" t="s">
        <v>190</v>
      </c>
      <c r="E357" s="23">
        <v>241</v>
      </c>
      <c r="F357" s="23">
        <v>56</v>
      </c>
      <c r="G357" s="23">
        <v>297</v>
      </c>
    </row>
    <row r="358" spans="1:7" x14ac:dyDescent="0.25">
      <c r="A358" s="23">
        <v>2022</v>
      </c>
      <c r="B358" s="23" t="s">
        <v>194</v>
      </c>
      <c r="C358" s="23" t="s">
        <v>197</v>
      </c>
      <c r="D358" s="23" t="s">
        <v>188</v>
      </c>
      <c r="E358" s="23">
        <v>157</v>
      </c>
      <c r="F358" s="23">
        <v>96</v>
      </c>
      <c r="G358" s="23">
        <v>253</v>
      </c>
    </row>
    <row r="359" spans="1:7" x14ac:dyDescent="0.25">
      <c r="A359" s="23">
        <v>2022</v>
      </c>
      <c r="B359" s="23" t="s">
        <v>194</v>
      </c>
      <c r="C359" s="23" t="s">
        <v>197</v>
      </c>
      <c r="D359" s="23" t="s">
        <v>190</v>
      </c>
      <c r="E359" s="23">
        <v>158</v>
      </c>
      <c r="F359" s="23">
        <v>18</v>
      </c>
      <c r="G359" s="23">
        <v>176</v>
      </c>
    </row>
    <row r="360" spans="1:7" x14ac:dyDescent="0.25">
      <c r="A360" s="23">
        <v>2022</v>
      </c>
      <c r="B360" s="23" t="s">
        <v>194</v>
      </c>
      <c r="C360" s="23" t="s">
        <v>198</v>
      </c>
      <c r="D360" s="23" t="s">
        <v>188</v>
      </c>
      <c r="E360" s="23">
        <v>123</v>
      </c>
      <c r="F360" s="23">
        <v>78</v>
      </c>
      <c r="G360" s="23">
        <v>201</v>
      </c>
    </row>
    <row r="361" spans="1:7" x14ac:dyDescent="0.25">
      <c r="A361" s="23">
        <v>2022</v>
      </c>
      <c r="B361" s="23" t="s">
        <v>194</v>
      </c>
      <c r="C361" s="23" t="s">
        <v>198</v>
      </c>
      <c r="D361" s="23" t="s">
        <v>190</v>
      </c>
      <c r="E361" s="23">
        <v>251</v>
      </c>
      <c r="F361" s="23">
        <v>81</v>
      </c>
      <c r="G361" s="23">
        <v>332</v>
      </c>
    </row>
    <row r="362" spans="1:7" x14ac:dyDescent="0.25">
      <c r="A362" s="23">
        <v>2022</v>
      </c>
      <c r="B362" s="23" t="s">
        <v>194</v>
      </c>
      <c r="C362" s="23" t="s">
        <v>199</v>
      </c>
      <c r="D362" s="23" t="s">
        <v>188</v>
      </c>
      <c r="E362" s="23">
        <v>146</v>
      </c>
      <c r="F362" s="23">
        <v>107</v>
      </c>
      <c r="G362" s="23">
        <v>253</v>
      </c>
    </row>
    <row r="363" spans="1:7" x14ac:dyDescent="0.25">
      <c r="A363" s="23">
        <v>2022</v>
      </c>
      <c r="B363" s="23" t="s">
        <v>194</v>
      </c>
      <c r="C363" s="23" t="s">
        <v>199</v>
      </c>
      <c r="D363" s="23" t="s">
        <v>190</v>
      </c>
      <c r="E363" s="23">
        <v>245</v>
      </c>
      <c r="F363" s="23">
        <v>110</v>
      </c>
      <c r="G363" s="23">
        <v>355</v>
      </c>
    </row>
    <row r="364" spans="1:7" x14ac:dyDescent="0.25">
      <c r="A364" s="23">
        <v>2022</v>
      </c>
      <c r="B364" s="23" t="s">
        <v>194</v>
      </c>
      <c r="C364" s="23" t="s">
        <v>200</v>
      </c>
      <c r="D364" s="23" t="s">
        <v>188</v>
      </c>
      <c r="E364" s="23">
        <v>62</v>
      </c>
      <c r="F364" s="23">
        <v>34</v>
      </c>
      <c r="G364" s="23">
        <v>96</v>
      </c>
    </row>
    <row r="365" spans="1:7" x14ac:dyDescent="0.25">
      <c r="A365" s="23">
        <v>2022</v>
      </c>
      <c r="B365" s="23" t="s">
        <v>194</v>
      </c>
      <c r="C365" s="23" t="s">
        <v>200</v>
      </c>
      <c r="D365" s="23" t="s">
        <v>190</v>
      </c>
      <c r="E365" s="23">
        <v>240</v>
      </c>
      <c r="F365" s="23">
        <v>38</v>
      </c>
      <c r="G365" s="23">
        <v>278</v>
      </c>
    </row>
    <row r="366" spans="1:7" x14ac:dyDescent="0.25">
      <c r="A366" s="23">
        <v>2022</v>
      </c>
      <c r="B366" s="23" t="s">
        <v>194</v>
      </c>
      <c r="C366" s="23" t="s">
        <v>201</v>
      </c>
      <c r="D366" s="23" t="s">
        <v>188</v>
      </c>
      <c r="E366" s="23">
        <v>214</v>
      </c>
      <c r="F366" s="23">
        <v>15</v>
      </c>
      <c r="G366" s="23">
        <v>229</v>
      </c>
    </row>
    <row r="367" spans="1:7" x14ac:dyDescent="0.25">
      <c r="A367" s="23">
        <v>2022</v>
      </c>
      <c r="B367" s="23" t="s">
        <v>194</v>
      </c>
      <c r="C367" s="23" t="s">
        <v>201</v>
      </c>
      <c r="D367" s="23" t="s">
        <v>190</v>
      </c>
      <c r="E367" s="23">
        <v>129</v>
      </c>
      <c r="F367" s="23">
        <v>27</v>
      </c>
      <c r="G367" s="23">
        <v>156</v>
      </c>
    </row>
    <row r="368" spans="1:7" x14ac:dyDescent="0.25">
      <c r="A368" s="23">
        <v>2022</v>
      </c>
      <c r="B368" s="23" t="s">
        <v>194</v>
      </c>
      <c r="C368" s="23" t="s">
        <v>202</v>
      </c>
      <c r="D368" s="23" t="s">
        <v>188</v>
      </c>
      <c r="E368" s="23">
        <v>187</v>
      </c>
      <c r="F368" s="23">
        <v>91</v>
      </c>
      <c r="G368" s="23">
        <v>278</v>
      </c>
    </row>
    <row r="369" spans="1:7" x14ac:dyDescent="0.25">
      <c r="A369" s="23">
        <v>2022</v>
      </c>
      <c r="B369" s="23" t="s">
        <v>194</v>
      </c>
      <c r="C369" s="23" t="s">
        <v>202</v>
      </c>
      <c r="D369" s="23" t="s">
        <v>190</v>
      </c>
      <c r="E369" s="23">
        <v>58</v>
      </c>
      <c r="F369" s="23">
        <v>72</v>
      </c>
      <c r="G369" s="23">
        <v>130</v>
      </c>
    </row>
    <row r="370" spans="1:7" x14ac:dyDescent="0.25">
      <c r="A370" s="23">
        <v>2022</v>
      </c>
      <c r="B370" s="23" t="s">
        <v>195</v>
      </c>
      <c r="C370" s="23" t="s">
        <v>181</v>
      </c>
      <c r="D370" s="23" t="s">
        <v>188</v>
      </c>
      <c r="E370" s="23">
        <v>98</v>
      </c>
      <c r="F370" s="14">
        <v>41</v>
      </c>
      <c r="G370" s="23">
        <v>139</v>
      </c>
    </row>
    <row r="371" spans="1:7" x14ac:dyDescent="0.25">
      <c r="A371" s="23">
        <v>2022</v>
      </c>
      <c r="B371" s="23" t="s">
        <v>195</v>
      </c>
      <c r="C371" s="23" t="s">
        <v>181</v>
      </c>
      <c r="D371" s="23" t="s">
        <v>190</v>
      </c>
      <c r="E371" s="23">
        <v>121</v>
      </c>
      <c r="F371" s="14">
        <v>13</v>
      </c>
      <c r="G371" s="23">
        <v>134</v>
      </c>
    </row>
    <row r="372" spans="1:7" x14ac:dyDescent="0.25">
      <c r="A372" s="23">
        <v>2022</v>
      </c>
      <c r="B372" s="23" t="s">
        <v>195</v>
      </c>
      <c r="C372" s="23" t="s">
        <v>182</v>
      </c>
      <c r="D372" s="23" t="s">
        <v>188</v>
      </c>
      <c r="E372" s="23">
        <v>174</v>
      </c>
      <c r="F372" s="14">
        <v>12</v>
      </c>
      <c r="G372" s="23">
        <v>186</v>
      </c>
    </row>
    <row r="373" spans="1:7" x14ac:dyDescent="0.25">
      <c r="A373" s="23">
        <v>2022</v>
      </c>
      <c r="B373" s="23" t="s">
        <v>195</v>
      </c>
      <c r="C373" s="23" t="s">
        <v>182</v>
      </c>
      <c r="D373" s="23" t="s">
        <v>190</v>
      </c>
      <c r="E373" s="23">
        <v>228</v>
      </c>
      <c r="F373" s="14">
        <v>85</v>
      </c>
      <c r="G373" s="23">
        <v>313</v>
      </c>
    </row>
    <row r="374" spans="1:7" x14ac:dyDescent="0.25">
      <c r="A374" s="23">
        <v>2022</v>
      </c>
      <c r="B374" s="23" t="s">
        <v>195</v>
      </c>
      <c r="C374" s="23" t="s">
        <v>197</v>
      </c>
      <c r="D374" s="23" t="s">
        <v>188</v>
      </c>
      <c r="E374" s="23">
        <v>193</v>
      </c>
      <c r="F374" s="14">
        <v>108</v>
      </c>
      <c r="G374" s="23">
        <v>301</v>
      </c>
    </row>
    <row r="375" spans="1:7" x14ac:dyDescent="0.25">
      <c r="A375" s="23">
        <v>2022</v>
      </c>
      <c r="B375" s="23" t="s">
        <v>195</v>
      </c>
      <c r="C375" s="23" t="s">
        <v>197</v>
      </c>
      <c r="D375" s="23" t="s">
        <v>190</v>
      </c>
      <c r="E375" s="23">
        <v>154</v>
      </c>
      <c r="F375" s="14">
        <v>51</v>
      </c>
      <c r="G375" s="23">
        <v>205</v>
      </c>
    </row>
    <row r="376" spans="1:7" x14ac:dyDescent="0.25">
      <c r="A376" s="23">
        <v>2022</v>
      </c>
      <c r="B376" s="23" t="s">
        <v>195</v>
      </c>
      <c r="C376" s="23" t="s">
        <v>198</v>
      </c>
      <c r="D376" s="23" t="s">
        <v>188</v>
      </c>
      <c r="E376" s="23">
        <v>192</v>
      </c>
      <c r="F376" s="14">
        <v>51</v>
      </c>
      <c r="G376" s="23">
        <v>243</v>
      </c>
    </row>
    <row r="377" spans="1:7" x14ac:dyDescent="0.25">
      <c r="A377" s="23">
        <v>2022</v>
      </c>
      <c r="B377" s="23" t="s">
        <v>195</v>
      </c>
      <c r="C377" s="23" t="s">
        <v>198</v>
      </c>
      <c r="D377" s="23" t="s">
        <v>190</v>
      </c>
      <c r="E377" s="23">
        <v>160</v>
      </c>
      <c r="F377" s="14">
        <v>96</v>
      </c>
      <c r="G377" s="23">
        <v>256</v>
      </c>
    </row>
    <row r="378" spans="1:7" x14ac:dyDescent="0.25">
      <c r="A378" s="23">
        <v>2022</v>
      </c>
      <c r="B378" s="23" t="s">
        <v>195</v>
      </c>
      <c r="C378" s="23" t="s">
        <v>199</v>
      </c>
      <c r="D378" s="23" t="s">
        <v>188</v>
      </c>
      <c r="E378" s="23">
        <v>92</v>
      </c>
      <c r="F378" s="14">
        <v>27</v>
      </c>
      <c r="G378" s="23">
        <v>119</v>
      </c>
    </row>
    <row r="379" spans="1:7" x14ac:dyDescent="0.25">
      <c r="A379" s="23">
        <v>2022</v>
      </c>
      <c r="B379" s="23" t="s">
        <v>195</v>
      </c>
      <c r="C379" s="23" t="s">
        <v>199</v>
      </c>
      <c r="D379" s="23" t="s">
        <v>190</v>
      </c>
      <c r="E379" s="23">
        <v>127</v>
      </c>
      <c r="F379" s="14">
        <v>31</v>
      </c>
      <c r="G379" s="23">
        <v>158</v>
      </c>
    </row>
    <row r="380" spans="1:7" x14ac:dyDescent="0.25">
      <c r="A380" s="23">
        <v>2022</v>
      </c>
      <c r="B380" s="23" t="s">
        <v>195</v>
      </c>
      <c r="C380" s="23" t="s">
        <v>200</v>
      </c>
      <c r="D380" s="23" t="s">
        <v>188</v>
      </c>
      <c r="E380" s="23">
        <v>139</v>
      </c>
      <c r="F380" s="14">
        <v>89</v>
      </c>
      <c r="G380" s="23">
        <v>228</v>
      </c>
    </row>
    <row r="381" spans="1:7" x14ac:dyDescent="0.25">
      <c r="A381" s="23">
        <v>2022</v>
      </c>
      <c r="B381" s="23" t="s">
        <v>195</v>
      </c>
      <c r="C381" s="23" t="s">
        <v>200</v>
      </c>
      <c r="D381" s="23" t="s">
        <v>190</v>
      </c>
      <c r="E381" s="23">
        <v>208</v>
      </c>
      <c r="F381" s="14">
        <v>61</v>
      </c>
      <c r="G381" s="23">
        <v>269</v>
      </c>
    </row>
    <row r="382" spans="1:7" x14ac:dyDescent="0.25">
      <c r="A382" s="23">
        <v>2022</v>
      </c>
      <c r="B382" s="23" t="s">
        <v>195</v>
      </c>
      <c r="C382" s="23" t="s">
        <v>201</v>
      </c>
      <c r="D382" s="23" t="s">
        <v>188</v>
      </c>
      <c r="E382" s="23">
        <v>200</v>
      </c>
      <c r="F382" s="14">
        <v>47</v>
      </c>
      <c r="G382" s="23">
        <v>247</v>
      </c>
    </row>
    <row r="383" spans="1:7" x14ac:dyDescent="0.25">
      <c r="A383" s="23">
        <v>2022</v>
      </c>
      <c r="B383" s="23" t="s">
        <v>195</v>
      </c>
      <c r="C383" s="23" t="s">
        <v>201</v>
      </c>
      <c r="D383" s="23" t="s">
        <v>190</v>
      </c>
      <c r="E383" s="23">
        <v>176</v>
      </c>
      <c r="F383" s="14">
        <v>84</v>
      </c>
      <c r="G383" s="23">
        <v>260</v>
      </c>
    </row>
    <row r="384" spans="1:7" x14ac:dyDescent="0.25">
      <c r="A384" s="23">
        <v>2022</v>
      </c>
      <c r="B384" s="23" t="s">
        <v>195</v>
      </c>
      <c r="C384" s="23" t="s">
        <v>202</v>
      </c>
      <c r="D384" s="23" t="s">
        <v>188</v>
      </c>
      <c r="E384" s="23">
        <v>41</v>
      </c>
      <c r="F384" s="14">
        <v>13</v>
      </c>
      <c r="G384" s="23">
        <v>54</v>
      </c>
    </row>
    <row r="385" spans="1:7" x14ac:dyDescent="0.25">
      <c r="A385" s="23">
        <v>2022</v>
      </c>
      <c r="B385" s="23" t="s">
        <v>195</v>
      </c>
      <c r="C385" s="23" t="s">
        <v>202</v>
      </c>
      <c r="D385" s="23" t="s">
        <v>190</v>
      </c>
      <c r="E385" s="23">
        <v>126</v>
      </c>
      <c r="F385" s="14">
        <v>38</v>
      </c>
      <c r="G385" s="23">
        <v>164</v>
      </c>
    </row>
    <row r="386" spans="1:7" x14ac:dyDescent="0.25">
      <c r="A386" s="23">
        <v>2023</v>
      </c>
      <c r="B386" s="23" t="s">
        <v>187</v>
      </c>
      <c r="C386" s="23" t="s">
        <v>181</v>
      </c>
      <c r="D386" s="23" t="s">
        <v>188</v>
      </c>
      <c r="E386" s="23">
        <v>98</v>
      </c>
      <c r="F386" s="14">
        <v>96</v>
      </c>
      <c r="G386" s="23">
        <v>194</v>
      </c>
    </row>
    <row r="387" spans="1:7" x14ac:dyDescent="0.25">
      <c r="A387" s="23">
        <v>2023</v>
      </c>
      <c r="B387" s="23" t="s">
        <v>187</v>
      </c>
      <c r="C387" s="23" t="s">
        <v>181</v>
      </c>
      <c r="D387" s="23" t="s">
        <v>190</v>
      </c>
      <c r="E387" s="23">
        <v>172</v>
      </c>
      <c r="F387" s="14">
        <v>88</v>
      </c>
      <c r="G387" s="23">
        <v>260</v>
      </c>
    </row>
    <row r="388" spans="1:7" x14ac:dyDescent="0.25">
      <c r="A388" s="23">
        <v>2023</v>
      </c>
      <c r="B388" s="23" t="s">
        <v>187</v>
      </c>
      <c r="C388" s="23" t="s">
        <v>182</v>
      </c>
      <c r="D388" s="23" t="s">
        <v>188</v>
      </c>
      <c r="E388" s="23">
        <v>221</v>
      </c>
      <c r="F388" s="14">
        <v>32</v>
      </c>
      <c r="G388" s="23">
        <v>253</v>
      </c>
    </row>
    <row r="389" spans="1:7" x14ac:dyDescent="0.25">
      <c r="A389" s="23">
        <v>2023</v>
      </c>
      <c r="B389" s="23" t="s">
        <v>187</v>
      </c>
      <c r="C389" s="23" t="s">
        <v>182</v>
      </c>
      <c r="D389" s="23" t="s">
        <v>190</v>
      </c>
      <c r="E389" s="23">
        <v>235</v>
      </c>
      <c r="F389" s="14">
        <v>81</v>
      </c>
      <c r="G389" s="23">
        <v>316</v>
      </c>
    </row>
    <row r="390" spans="1:7" x14ac:dyDescent="0.25">
      <c r="A390" s="23">
        <v>2023</v>
      </c>
      <c r="B390" s="23" t="s">
        <v>187</v>
      </c>
      <c r="C390" s="23" t="s">
        <v>197</v>
      </c>
      <c r="D390" s="23" t="s">
        <v>188</v>
      </c>
      <c r="E390" s="23">
        <v>114</v>
      </c>
      <c r="F390" s="14">
        <v>50</v>
      </c>
      <c r="G390" s="23">
        <v>164</v>
      </c>
    </row>
    <row r="391" spans="1:7" x14ac:dyDescent="0.25">
      <c r="A391" s="23">
        <v>2023</v>
      </c>
      <c r="B391" s="23" t="s">
        <v>187</v>
      </c>
      <c r="C391" s="23" t="s">
        <v>197</v>
      </c>
      <c r="D391" s="23" t="s">
        <v>190</v>
      </c>
      <c r="E391" s="23">
        <v>158</v>
      </c>
      <c r="F391" s="14">
        <v>26</v>
      </c>
      <c r="G391" s="23">
        <v>184</v>
      </c>
    </row>
    <row r="392" spans="1:7" x14ac:dyDescent="0.25">
      <c r="A392" s="23">
        <v>2023</v>
      </c>
      <c r="B392" s="23" t="s">
        <v>187</v>
      </c>
      <c r="C392" s="23" t="s">
        <v>198</v>
      </c>
      <c r="D392" s="23" t="s">
        <v>188</v>
      </c>
      <c r="E392" s="23">
        <v>102</v>
      </c>
      <c r="F392" s="14">
        <v>63</v>
      </c>
      <c r="G392" s="23">
        <v>165</v>
      </c>
    </row>
    <row r="393" spans="1:7" x14ac:dyDescent="0.25">
      <c r="A393" s="23">
        <v>2023</v>
      </c>
      <c r="B393" s="23" t="s">
        <v>187</v>
      </c>
      <c r="C393" s="23" t="s">
        <v>198</v>
      </c>
      <c r="D393" s="23" t="s">
        <v>190</v>
      </c>
      <c r="E393" s="23">
        <v>71</v>
      </c>
      <c r="F393" s="14">
        <v>84</v>
      </c>
      <c r="G393" s="23">
        <v>155</v>
      </c>
    </row>
    <row r="394" spans="1:7" x14ac:dyDescent="0.25">
      <c r="A394" s="23">
        <v>2023</v>
      </c>
      <c r="B394" s="23" t="s">
        <v>187</v>
      </c>
      <c r="C394" s="23" t="s">
        <v>199</v>
      </c>
      <c r="D394" s="23" t="s">
        <v>188</v>
      </c>
      <c r="E394" s="23">
        <v>62</v>
      </c>
      <c r="F394" s="14">
        <v>57</v>
      </c>
      <c r="G394" s="23">
        <v>119</v>
      </c>
    </row>
    <row r="395" spans="1:7" x14ac:dyDescent="0.25">
      <c r="A395" s="23">
        <v>2023</v>
      </c>
      <c r="B395" s="23" t="s">
        <v>187</v>
      </c>
      <c r="C395" s="23" t="s">
        <v>199</v>
      </c>
      <c r="D395" s="23" t="s">
        <v>190</v>
      </c>
      <c r="E395" s="23">
        <v>65</v>
      </c>
      <c r="F395" s="14">
        <v>88</v>
      </c>
      <c r="G395" s="23">
        <v>153</v>
      </c>
    </row>
    <row r="396" spans="1:7" x14ac:dyDescent="0.25">
      <c r="A396" s="23">
        <v>2023</v>
      </c>
      <c r="B396" s="23" t="s">
        <v>187</v>
      </c>
      <c r="C396" s="23" t="s">
        <v>200</v>
      </c>
      <c r="D396" s="23" t="s">
        <v>188</v>
      </c>
      <c r="E396" s="23">
        <v>54</v>
      </c>
      <c r="F396" s="14">
        <v>42</v>
      </c>
      <c r="G396" s="23">
        <v>96</v>
      </c>
    </row>
    <row r="397" spans="1:7" x14ac:dyDescent="0.25">
      <c r="A397" s="23">
        <v>2023</v>
      </c>
      <c r="B397" s="23" t="s">
        <v>187</v>
      </c>
      <c r="C397" s="23" t="s">
        <v>200</v>
      </c>
      <c r="D397" s="23" t="s">
        <v>190</v>
      </c>
      <c r="E397" s="23">
        <v>182</v>
      </c>
      <c r="F397" s="14">
        <v>39</v>
      </c>
      <c r="G397" s="23">
        <v>221</v>
      </c>
    </row>
    <row r="398" spans="1:7" x14ac:dyDescent="0.25">
      <c r="A398" s="23">
        <v>2023</v>
      </c>
      <c r="B398" s="23" t="s">
        <v>187</v>
      </c>
      <c r="C398" s="23" t="s">
        <v>201</v>
      </c>
      <c r="D398" s="23" t="s">
        <v>188</v>
      </c>
      <c r="E398" s="23">
        <v>144</v>
      </c>
      <c r="F398" s="14">
        <v>110</v>
      </c>
      <c r="G398" s="23">
        <v>254</v>
      </c>
    </row>
    <row r="399" spans="1:7" x14ac:dyDescent="0.25">
      <c r="A399" s="23">
        <v>2023</v>
      </c>
      <c r="B399" s="23" t="s">
        <v>187</v>
      </c>
      <c r="C399" s="23" t="s">
        <v>201</v>
      </c>
      <c r="D399" s="23" t="s">
        <v>190</v>
      </c>
      <c r="E399" s="23">
        <v>112</v>
      </c>
      <c r="F399" s="14">
        <v>82</v>
      </c>
      <c r="G399" s="23">
        <v>194</v>
      </c>
    </row>
    <row r="400" spans="1:7" x14ac:dyDescent="0.25">
      <c r="A400" s="23">
        <v>2023</v>
      </c>
      <c r="B400" s="23" t="s">
        <v>187</v>
      </c>
      <c r="C400" s="23" t="s">
        <v>202</v>
      </c>
      <c r="D400" s="23" t="s">
        <v>188</v>
      </c>
      <c r="E400" s="23">
        <v>170</v>
      </c>
      <c r="F400" s="14">
        <v>88</v>
      </c>
      <c r="G400" s="23">
        <v>258</v>
      </c>
    </row>
    <row r="401" spans="1:7" x14ac:dyDescent="0.25">
      <c r="A401" s="23">
        <v>2023</v>
      </c>
      <c r="B401" s="23" t="s">
        <v>187</v>
      </c>
      <c r="C401" s="23" t="s">
        <v>202</v>
      </c>
      <c r="D401" s="23" t="s">
        <v>190</v>
      </c>
      <c r="E401" s="23">
        <v>196</v>
      </c>
      <c r="F401" s="14">
        <v>50</v>
      </c>
      <c r="G401" s="23">
        <v>246</v>
      </c>
    </row>
    <row r="402" spans="1:7" x14ac:dyDescent="0.25">
      <c r="A402" s="23">
        <v>2023</v>
      </c>
      <c r="B402" s="23" t="s">
        <v>189</v>
      </c>
      <c r="C402" s="23" t="s">
        <v>181</v>
      </c>
      <c r="D402" s="23" t="s">
        <v>188</v>
      </c>
      <c r="E402" s="23">
        <v>228</v>
      </c>
      <c r="F402" s="14">
        <v>76</v>
      </c>
      <c r="G402" s="23">
        <v>304</v>
      </c>
    </row>
    <row r="403" spans="1:7" x14ac:dyDescent="0.25">
      <c r="A403" s="23">
        <v>2023</v>
      </c>
      <c r="B403" s="23" t="s">
        <v>189</v>
      </c>
      <c r="C403" s="23" t="s">
        <v>181</v>
      </c>
      <c r="D403" s="23" t="s">
        <v>190</v>
      </c>
      <c r="E403" s="23">
        <v>239</v>
      </c>
      <c r="F403" s="14">
        <v>82</v>
      </c>
      <c r="G403" s="23">
        <v>321</v>
      </c>
    </row>
    <row r="404" spans="1:7" x14ac:dyDescent="0.25">
      <c r="A404" s="23">
        <v>2023</v>
      </c>
      <c r="B404" s="23" t="s">
        <v>189</v>
      </c>
      <c r="C404" s="23" t="s">
        <v>182</v>
      </c>
      <c r="D404" s="23" t="s">
        <v>188</v>
      </c>
      <c r="E404" s="23">
        <v>219</v>
      </c>
      <c r="F404" s="14">
        <v>107</v>
      </c>
      <c r="G404" s="23">
        <v>326</v>
      </c>
    </row>
    <row r="405" spans="1:7" x14ac:dyDescent="0.25">
      <c r="A405" s="23">
        <v>2023</v>
      </c>
      <c r="B405" s="23" t="s">
        <v>189</v>
      </c>
      <c r="C405" s="23" t="s">
        <v>182</v>
      </c>
      <c r="D405" s="23" t="s">
        <v>190</v>
      </c>
      <c r="E405" s="23">
        <v>205</v>
      </c>
      <c r="F405" s="14">
        <v>47</v>
      </c>
      <c r="G405" s="23">
        <v>252</v>
      </c>
    </row>
    <row r="406" spans="1:7" x14ac:dyDescent="0.25">
      <c r="A406" s="23">
        <v>2023</v>
      </c>
      <c r="B406" s="23" t="s">
        <v>189</v>
      </c>
      <c r="C406" s="23" t="s">
        <v>197</v>
      </c>
      <c r="D406" s="23" t="s">
        <v>188</v>
      </c>
      <c r="E406" s="23">
        <v>129</v>
      </c>
      <c r="F406" s="14">
        <v>40</v>
      </c>
      <c r="G406" s="23">
        <v>169</v>
      </c>
    </row>
    <row r="407" spans="1:7" x14ac:dyDescent="0.25">
      <c r="A407" s="23">
        <v>2023</v>
      </c>
      <c r="B407" s="23" t="s">
        <v>189</v>
      </c>
      <c r="C407" s="23" t="s">
        <v>197</v>
      </c>
      <c r="D407" s="23" t="s">
        <v>190</v>
      </c>
      <c r="E407" s="23">
        <v>48</v>
      </c>
      <c r="F407" s="14">
        <v>48</v>
      </c>
      <c r="G407" s="23">
        <v>96</v>
      </c>
    </row>
    <row r="408" spans="1:7" x14ac:dyDescent="0.25">
      <c r="A408" s="23">
        <v>2023</v>
      </c>
      <c r="B408" s="23" t="s">
        <v>189</v>
      </c>
      <c r="C408" s="23" t="s">
        <v>198</v>
      </c>
      <c r="D408" s="23" t="s">
        <v>188</v>
      </c>
      <c r="E408" s="23">
        <v>177</v>
      </c>
      <c r="F408" s="14">
        <v>90</v>
      </c>
      <c r="G408" s="23">
        <v>267</v>
      </c>
    </row>
    <row r="409" spans="1:7" x14ac:dyDescent="0.25">
      <c r="A409" s="23">
        <v>2023</v>
      </c>
      <c r="B409" s="23" t="s">
        <v>189</v>
      </c>
      <c r="C409" s="23" t="s">
        <v>198</v>
      </c>
      <c r="D409" s="23" t="s">
        <v>190</v>
      </c>
      <c r="E409" s="23">
        <v>83</v>
      </c>
      <c r="F409" s="14">
        <v>83</v>
      </c>
      <c r="G409" s="23">
        <v>166</v>
      </c>
    </row>
    <row r="410" spans="1:7" x14ac:dyDescent="0.25">
      <c r="A410" s="23">
        <v>2023</v>
      </c>
      <c r="B410" s="23" t="s">
        <v>189</v>
      </c>
      <c r="C410" s="23" t="s">
        <v>199</v>
      </c>
      <c r="D410" s="23" t="s">
        <v>188</v>
      </c>
      <c r="E410" s="23">
        <v>138</v>
      </c>
      <c r="F410" s="14">
        <v>106</v>
      </c>
      <c r="G410" s="23">
        <v>244</v>
      </c>
    </row>
    <row r="411" spans="1:7" x14ac:dyDescent="0.25">
      <c r="A411" s="23">
        <v>2023</v>
      </c>
      <c r="B411" s="23" t="s">
        <v>189</v>
      </c>
      <c r="C411" s="23" t="s">
        <v>199</v>
      </c>
      <c r="D411" s="23" t="s">
        <v>190</v>
      </c>
      <c r="E411" s="23">
        <v>77</v>
      </c>
      <c r="F411" s="14">
        <v>10</v>
      </c>
      <c r="G411" s="23">
        <v>87</v>
      </c>
    </row>
    <row r="412" spans="1:7" x14ac:dyDescent="0.25">
      <c r="A412" s="23">
        <v>2023</v>
      </c>
      <c r="B412" s="23" t="s">
        <v>189</v>
      </c>
      <c r="C412" s="23" t="s">
        <v>200</v>
      </c>
      <c r="D412" s="23" t="s">
        <v>188</v>
      </c>
      <c r="E412" s="23">
        <v>157</v>
      </c>
      <c r="F412" s="14">
        <v>10</v>
      </c>
      <c r="G412" s="23">
        <v>167</v>
      </c>
    </row>
    <row r="413" spans="1:7" x14ac:dyDescent="0.25">
      <c r="A413" s="23">
        <v>2023</v>
      </c>
      <c r="B413" s="23" t="s">
        <v>189</v>
      </c>
      <c r="C413" s="23" t="s">
        <v>200</v>
      </c>
      <c r="D413" s="23" t="s">
        <v>190</v>
      </c>
      <c r="E413" s="23">
        <v>128</v>
      </c>
      <c r="F413" s="14">
        <v>62</v>
      </c>
      <c r="G413" s="23">
        <v>190</v>
      </c>
    </row>
    <row r="414" spans="1:7" x14ac:dyDescent="0.25">
      <c r="A414" s="23">
        <v>2023</v>
      </c>
      <c r="B414" s="23" t="s">
        <v>189</v>
      </c>
      <c r="C414" s="23" t="s">
        <v>201</v>
      </c>
      <c r="D414" s="23" t="s">
        <v>188</v>
      </c>
      <c r="E414" s="23">
        <v>220</v>
      </c>
      <c r="F414" s="14">
        <v>92</v>
      </c>
      <c r="G414" s="23">
        <v>312</v>
      </c>
    </row>
    <row r="415" spans="1:7" x14ac:dyDescent="0.25">
      <c r="A415" s="23">
        <v>2023</v>
      </c>
      <c r="B415" s="23" t="s">
        <v>189</v>
      </c>
      <c r="C415" s="23" t="s">
        <v>201</v>
      </c>
      <c r="D415" s="23" t="s">
        <v>190</v>
      </c>
      <c r="E415" s="23">
        <v>105</v>
      </c>
      <c r="F415" s="14">
        <v>25</v>
      </c>
      <c r="G415" s="23">
        <v>130</v>
      </c>
    </row>
    <row r="416" spans="1:7" x14ac:dyDescent="0.25">
      <c r="A416" s="23">
        <v>2023</v>
      </c>
      <c r="B416" s="23" t="s">
        <v>189</v>
      </c>
      <c r="C416" s="23" t="s">
        <v>202</v>
      </c>
      <c r="D416" s="23" t="s">
        <v>188</v>
      </c>
      <c r="E416" s="23">
        <v>260</v>
      </c>
      <c r="F416" s="14">
        <v>101</v>
      </c>
      <c r="G416" s="23">
        <v>361</v>
      </c>
    </row>
    <row r="417" spans="1:7" x14ac:dyDescent="0.25">
      <c r="A417" s="23">
        <v>2023</v>
      </c>
      <c r="B417" s="23" t="s">
        <v>189</v>
      </c>
      <c r="C417" s="23" t="s">
        <v>202</v>
      </c>
      <c r="D417" s="23" t="s">
        <v>190</v>
      </c>
      <c r="E417" s="23">
        <v>42</v>
      </c>
      <c r="F417" s="14">
        <v>45</v>
      </c>
      <c r="G417" s="23">
        <v>87</v>
      </c>
    </row>
    <row r="418" spans="1:7" x14ac:dyDescent="0.25">
      <c r="A418" s="23">
        <v>2023</v>
      </c>
      <c r="B418" s="23" t="s">
        <v>191</v>
      </c>
      <c r="C418" s="23" t="s">
        <v>181</v>
      </c>
      <c r="D418" s="23" t="s">
        <v>188</v>
      </c>
      <c r="E418" s="23">
        <v>151</v>
      </c>
      <c r="F418" s="14">
        <v>59</v>
      </c>
      <c r="G418" s="23">
        <v>210</v>
      </c>
    </row>
    <row r="419" spans="1:7" x14ac:dyDescent="0.25">
      <c r="A419" s="23">
        <v>2023</v>
      </c>
      <c r="B419" s="23" t="s">
        <v>191</v>
      </c>
      <c r="C419" s="23" t="s">
        <v>181</v>
      </c>
      <c r="D419" s="23" t="s">
        <v>190</v>
      </c>
      <c r="E419" s="23">
        <v>258</v>
      </c>
      <c r="F419" s="14">
        <v>60</v>
      </c>
      <c r="G419" s="23">
        <v>318</v>
      </c>
    </row>
    <row r="420" spans="1:7" x14ac:dyDescent="0.25">
      <c r="A420" s="23">
        <v>2023</v>
      </c>
      <c r="B420" s="23" t="s">
        <v>191</v>
      </c>
      <c r="C420" s="23" t="s">
        <v>182</v>
      </c>
      <c r="D420" s="23" t="s">
        <v>188</v>
      </c>
      <c r="E420" s="23">
        <v>215</v>
      </c>
      <c r="F420" s="14">
        <v>13</v>
      </c>
      <c r="G420" s="23">
        <v>228</v>
      </c>
    </row>
    <row r="421" spans="1:7" x14ac:dyDescent="0.25">
      <c r="A421" s="23">
        <v>2023</v>
      </c>
      <c r="B421" s="23" t="s">
        <v>191</v>
      </c>
      <c r="C421" s="23" t="s">
        <v>182</v>
      </c>
      <c r="D421" s="23" t="s">
        <v>190</v>
      </c>
      <c r="E421" s="23">
        <v>153</v>
      </c>
      <c r="F421" s="14">
        <v>94</v>
      </c>
      <c r="G421" s="23">
        <v>247</v>
      </c>
    </row>
    <row r="422" spans="1:7" x14ac:dyDescent="0.25">
      <c r="A422" s="23">
        <v>2023</v>
      </c>
      <c r="B422" s="23" t="s">
        <v>191</v>
      </c>
      <c r="C422" s="23" t="s">
        <v>197</v>
      </c>
      <c r="D422" s="23" t="s">
        <v>188</v>
      </c>
      <c r="E422" s="23">
        <v>130</v>
      </c>
      <c r="F422" s="14">
        <v>97</v>
      </c>
      <c r="G422" s="23">
        <v>227</v>
      </c>
    </row>
    <row r="423" spans="1:7" x14ac:dyDescent="0.25">
      <c r="A423" s="23">
        <v>2023</v>
      </c>
      <c r="B423" s="23" t="s">
        <v>191</v>
      </c>
      <c r="C423" s="23" t="s">
        <v>197</v>
      </c>
      <c r="D423" s="23" t="s">
        <v>190</v>
      </c>
      <c r="E423" s="23">
        <v>174</v>
      </c>
      <c r="F423" s="14">
        <v>83</v>
      </c>
      <c r="G423" s="23">
        <v>257</v>
      </c>
    </row>
    <row r="424" spans="1:7" x14ac:dyDescent="0.25">
      <c r="A424" s="23">
        <v>2023</v>
      </c>
      <c r="B424" s="23" t="s">
        <v>191</v>
      </c>
      <c r="C424" s="23" t="s">
        <v>198</v>
      </c>
      <c r="D424" s="23" t="s">
        <v>188</v>
      </c>
      <c r="E424" s="23">
        <v>172</v>
      </c>
      <c r="F424" s="14">
        <v>36</v>
      </c>
      <c r="G424" s="23">
        <v>208</v>
      </c>
    </row>
    <row r="425" spans="1:7" x14ac:dyDescent="0.25">
      <c r="A425" s="23">
        <v>2023</v>
      </c>
      <c r="B425" s="23" t="s">
        <v>191</v>
      </c>
      <c r="C425" s="23" t="s">
        <v>198</v>
      </c>
      <c r="D425" s="23" t="s">
        <v>190</v>
      </c>
      <c r="E425" s="23">
        <v>247</v>
      </c>
      <c r="F425" s="14">
        <v>110</v>
      </c>
      <c r="G425" s="23">
        <v>357</v>
      </c>
    </row>
    <row r="426" spans="1:7" x14ac:dyDescent="0.25">
      <c r="A426" s="23">
        <v>2023</v>
      </c>
      <c r="B426" s="23" t="s">
        <v>191</v>
      </c>
      <c r="C426" s="23" t="s">
        <v>199</v>
      </c>
      <c r="D426" s="23" t="s">
        <v>188</v>
      </c>
      <c r="E426" s="23">
        <v>189</v>
      </c>
      <c r="F426" s="14">
        <v>75</v>
      </c>
      <c r="G426" s="23">
        <v>264</v>
      </c>
    </row>
    <row r="427" spans="1:7" x14ac:dyDescent="0.25">
      <c r="A427" s="23">
        <v>2023</v>
      </c>
      <c r="B427" s="23" t="s">
        <v>191</v>
      </c>
      <c r="C427" s="23" t="s">
        <v>199</v>
      </c>
      <c r="D427" s="23" t="s">
        <v>190</v>
      </c>
      <c r="E427" s="23">
        <v>140</v>
      </c>
      <c r="F427" s="14">
        <v>54</v>
      </c>
      <c r="G427" s="23">
        <v>194</v>
      </c>
    </row>
    <row r="428" spans="1:7" x14ac:dyDescent="0.25">
      <c r="A428" s="23">
        <v>2023</v>
      </c>
      <c r="B428" s="23" t="s">
        <v>191</v>
      </c>
      <c r="C428" s="23" t="s">
        <v>200</v>
      </c>
      <c r="D428" s="23" t="s">
        <v>188</v>
      </c>
      <c r="E428" s="23">
        <v>161</v>
      </c>
      <c r="F428" s="14">
        <v>33</v>
      </c>
      <c r="G428" s="23">
        <v>194</v>
      </c>
    </row>
    <row r="429" spans="1:7" x14ac:dyDescent="0.25">
      <c r="A429" s="23">
        <v>2023</v>
      </c>
      <c r="B429" s="23" t="s">
        <v>191</v>
      </c>
      <c r="C429" s="23" t="s">
        <v>200</v>
      </c>
      <c r="D429" s="23" t="s">
        <v>190</v>
      </c>
      <c r="E429" s="23">
        <v>232</v>
      </c>
      <c r="F429" s="14">
        <v>66</v>
      </c>
      <c r="G429" s="23">
        <v>298</v>
      </c>
    </row>
    <row r="430" spans="1:7" x14ac:dyDescent="0.25">
      <c r="A430" s="23">
        <v>2023</v>
      </c>
      <c r="B430" s="23" t="s">
        <v>191</v>
      </c>
      <c r="C430" s="23" t="s">
        <v>201</v>
      </c>
      <c r="D430" s="23" t="s">
        <v>188</v>
      </c>
      <c r="E430" s="23">
        <v>53</v>
      </c>
      <c r="F430" s="14">
        <v>96</v>
      </c>
      <c r="G430" s="23">
        <v>149</v>
      </c>
    </row>
    <row r="431" spans="1:7" x14ac:dyDescent="0.25">
      <c r="A431" s="23">
        <v>2023</v>
      </c>
      <c r="B431" s="23" t="s">
        <v>191</v>
      </c>
      <c r="C431" s="23" t="s">
        <v>201</v>
      </c>
      <c r="D431" s="23" t="s">
        <v>190</v>
      </c>
      <c r="E431" s="23">
        <v>77</v>
      </c>
      <c r="F431" s="14">
        <v>22</v>
      </c>
      <c r="G431" s="23">
        <v>99</v>
      </c>
    </row>
    <row r="432" spans="1:7" x14ac:dyDescent="0.25">
      <c r="A432" s="23">
        <v>2023</v>
      </c>
      <c r="B432" s="23" t="s">
        <v>191</v>
      </c>
      <c r="C432" s="23" t="s">
        <v>202</v>
      </c>
      <c r="D432" s="23" t="s">
        <v>188</v>
      </c>
      <c r="E432" s="23">
        <v>174</v>
      </c>
      <c r="F432" s="14">
        <v>72</v>
      </c>
      <c r="G432" s="23">
        <v>246</v>
      </c>
    </row>
    <row r="433" spans="1:7" x14ac:dyDescent="0.25">
      <c r="A433" s="23">
        <v>2023</v>
      </c>
      <c r="B433" s="23" t="s">
        <v>191</v>
      </c>
      <c r="C433" s="23" t="s">
        <v>202</v>
      </c>
      <c r="D433" s="23" t="s">
        <v>190</v>
      </c>
      <c r="E433" s="23">
        <v>201</v>
      </c>
      <c r="F433" s="14">
        <v>67</v>
      </c>
      <c r="G433" s="23">
        <v>268</v>
      </c>
    </row>
    <row r="434" spans="1:7" x14ac:dyDescent="0.25">
      <c r="A434" s="23">
        <v>2023</v>
      </c>
      <c r="B434" s="23" t="s">
        <v>193</v>
      </c>
      <c r="C434" s="23" t="s">
        <v>181</v>
      </c>
      <c r="D434" s="23" t="s">
        <v>188</v>
      </c>
      <c r="E434" s="23">
        <v>258</v>
      </c>
      <c r="F434" s="14">
        <v>12</v>
      </c>
      <c r="G434" s="23">
        <v>270</v>
      </c>
    </row>
    <row r="435" spans="1:7" x14ac:dyDescent="0.25">
      <c r="A435" s="23">
        <v>2023</v>
      </c>
      <c r="B435" s="23" t="s">
        <v>193</v>
      </c>
      <c r="C435" s="23" t="s">
        <v>181</v>
      </c>
      <c r="D435" s="23" t="s">
        <v>190</v>
      </c>
      <c r="E435" s="23">
        <v>155</v>
      </c>
      <c r="F435" s="14">
        <v>35</v>
      </c>
      <c r="G435" s="23">
        <v>190</v>
      </c>
    </row>
    <row r="436" spans="1:7" x14ac:dyDescent="0.25">
      <c r="A436" s="23">
        <v>2023</v>
      </c>
      <c r="B436" s="23" t="s">
        <v>193</v>
      </c>
      <c r="C436" s="23" t="s">
        <v>182</v>
      </c>
      <c r="D436" s="23" t="s">
        <v>188</v>
      </c>
      <c r="E436" s="23">
        <v>171</v>
      </c>
      <c r="F436" s="14">
        <v>54</v>
      </c>
      <c r="G436" s="23">
        <v>225</v>
      </c>
    </row>
    <row r="437" spans="1:7" x14ac:dyDescent="0.25">
      <c r="A437" s="23">
        <v>2023</v>
      </c>
      <c r="B437" s="23" t="s">
        <v>193</v>
      </c>
      <c r="C437" s="23" t="s">
        <v>182</v>
      </c>
      <c r="D437" s="23" t="s">
        <v>190</v>
      </c>
      <c r="E437" s="23">
        <v>240</v>
      </c>
      <c r="F437" s="14">
        <v>56</v>
      </c>
      <c r="G437" s="23">
        <v>296</v>
      </c>
    </row>
    <row r="438" spans="1:7" x14ac:dyDescent="0.25">
      <c r="A438" s="23">
        <v>2023</v>
      </c>
      <c r="B438" s="23" t="s">
        <v>193</v>
      </c>
      <c r="C438" s="23" t="s">
        <v>197</v>
      </c>
      <c r="D438" s="23" t="s">
        <v>188</v>
      </c>
      <c r="E438" s="23">
        <v>204</v>
      </c>
      <c r="F438" s="14">
        <v>16</v>
      </c>
      <c r="G438" s="23">
        <v>220</v>
      </c>
    </row>
    <row r="439" spans="1:7" x14ac:dyDescent="0.25">
      <c r="A439" s="23">
        <v>2023</v>
      </c>
      <c r="B439" s="23" t="s">
        <v>193</v>
      </c>
      <c r="C439" s="23" t="s">
        <v>197</v>
      </c>
      <c r="D439" s="23" t="s">
        <v>190</v>
      </c>
      <c r="E439" s="23">
        <v>255</v>
      </c>
      <c r="F439" s="14">
        <v>21</v>
      </c>
      <c r="G439" s="23">
        <v>276</v>
      </c>
    </row>
    <row r="440" spans="1:7" x14ac:dyDescent="0.25">
      <c r="A440" s="23">
        <v>2023</v>
      </c>
      <c r="B440" s="23" t="s">
        <v>193</v>
      </c>
      <c r="C440" s="23" t="s">
        <v>198</v>
      </c>
      <c r="D440" s="23" t="s">
        <v>188</v>
      </c>
      <c r="E440" s="23">
        <v>128</v>
      </c>
      <c r="F440" s="14">
        <v>23</v>
      </c>
      <c r="G440" s="23">
        <v>151</v>
      </c>
    </row>
    <row r="441" spans="1:7" x14ac:dyDescent="0.25">
      <c r="A441" s="23">
        <v>2023</v>
      </c>
      <c r="B441" s="23" t="s">
        <v>193</v>
      </c>
      <c r="C441" s="23" t="s">
        <v>198</v>
      </c>
      <c r="D441" s="23" t="s">
        <v>190</v>
      </c>
      <c r="E441" s="23">
        <v>220</v>
      </c>
      <c r="F441" s="14">
        <v>87</v>
      </c>
      <c r="G441" s="23">
        <v>307</v>
      </c>
    </row>
    <row r="442" spans="1:7" x14ac:dyDescent="0.25">
      <c r="A442" s="23">
        <v>2023</v>
      </c>
      <c r="B442" s="23" t="s">
        <v>193</v>
      </c>
      <c r="C442" s="23" t="s">
        <v>199</v>
      </c>
      <c r="D442" s="23" t="s">
        <v>188</v>
      </c>
      <c r="E442" s="23">
        <v>43</v>
      </c>
      <c r="F442" s="14">
        <v>105</v>
      </c>
      <c r="G442" s="23">
        <v>148</v>
      </c>
    </row>
    <row r="443" spans="1:7" x14ac:dyDescent="0.25">
      <c r="A443" s="23">
        <v>2023</v>
      </c>
      <c r="B443" s="23" t="s">
        <v>193</v>
      </c>
      <c r="C443" s="23" t="s">
        <v>199</v>
      </c>
      <c r="D443" s="23" t="s">
        <v>190</v>
      </c>
      <c r="E443" s="23">
        <v>108</v>
      </c>
      <c r="F443" s="14">
        <v>11</v>
      </c>
      <c r="G443" s="23">
        <v>119</v>
      </c>
    </row>
    <row r="444" spans="1:7" x14ac:dyDescent="0.25">
      <c r="A444" s="23">
        <v>2023</v>
      </c>
      <c r="B444" s="23" t="s">
        <v>193</v>
      </c>
      <c r="C444" s="23" t="s">
        <v>200</v>
      </c>
      <c r="D444" s="23" t="s">
        <v>188</v>
      </c>
      <c r="E444" s="23">
        <v>260</v>
      </c>
      <c r="F444" s="14">
        <v>89</v>
      </c>
      <c r="G444" s="23">
        <v>349</v>
      </c>
    </row>
    <row r="445" spans="1:7" x14ac:dyDescent="0.25">
      <c r="A445" s="23">
        <v>2023</v>
      </c>
      <c r="B445" s="23" t="s">
        <v>193</v>
      </c>
      <c r="C445" s="23" t="s">
        <v>200</v>
      </c>
      <c r="D445" s="23" t="s">
        <v>190</v>
      </c>
      <c r="E445" s="23">
        <v>84</v>
      </c>
      <c r="F445" s="14">
        <v>52</v>
      </c>
      <c r="G445" s="23">
        <v>136</v>
      </c>
    </row>
    <row r="446" spans="1:7" x14ac:dyDescent="0.25">
      <c r="A446" s="23">
        <v>2023</v>
      </c>
      <c r="B446" s="23" t="s">
        <v>193</v>
      </c>
      <c r="C446" s="23" t="s">
        <v>201</v>
      </c>
      <c r="D446" s="23" t="s">
        <v>188</v>
      </c>
      <c r="E446" s="23">
        <v>216</v>
      </c>
      <c r="F446" s="14">
        <v>66</v>
      </c>
      <c r="G446" s="23">
        <v>282</v>
      </c>
    </row>
    <row r="447" spans="1:7" x14ac:dyDescent="0.25">
      <c r="A447" s="23">
        <v>2023</v>
      </c>
      <c r="B447" s="23" t="s">
        <v>193</v>
      </c>
      <c r="C447" s="23" t="s">
        <v>201</v>
      </c>
      <c r="D447" s="23" t="s">
        <v>190</v>
      </c>
      <c r="E447" s="23">
        <v>191</v>
      </c>
      <c r="F447" s="14">
        <v>73</v>
      </c>
      <c r="G447" s="23">
        <v>264</v>
      </c>
    </row>
    <row r="448" spans="1:7" x14ac:dyDescent="0.25">
      <c r="A448" s="23">
        <v>2023</v>
      </c>
      <c r="B448" s="23" t="s">
        <v>193</v>
      </c>
      <c r="C448" s="23" t="s">
        <v>202</v>
      </c>
      <c r="D448" s="23" t="s">
        <v>188</v>
      </c>
      <c r="E448" s="23">
        <v>183</v>
      </c>
      <c r="F448" s="14">
        <v>23</v>
      </c>
      <c r="G448" s="23">
        <v>206</v>
      </c>
    </row>
    <row r="449" spans="1:7" x14ac:dyDescent="0.25">
      <c r="A449" s="23">
        <v>2023</v>
      </c>
      <c r="B449" s="23" t="s">
        <v>193</v>
      </c>
      <c r="C449" s="23" t="s">
        <v>202</v>
      </c>
      <c r="D449" s="23" t="s">
        <v>190</v>
      </c>
      <c r="E449" s="23">
        <v>98</v>
      </c>
      <c r="F449" s="14">
        <v>12</v>
      </c>
      <c r="G449" s="23">
        <v>110</v>
      </c>
    </row>
    <row r="450" spans="1:7" x14ac:dyDescent="0.25">
      <c r="A450" s="23">
        <v>2023</v>
      </c>
      <c r="B450" s="23" t="s">
        <v>192</v>
      </c>
      <c r="C450" s="23" t="s">
        <v>181</v>
      </c>
      <c r="D450" s="23" t="s">
        <v>188</v>
      </c>
      <c r="E450" s="23">
        <v>126</v>
      </c>
      <c r="F450" s="14">
        <v>51</v>
      </c>
      <c r="G450" s="23">
        <v>177</v>
      </c>
    </row>
    <row r="451" spans="1:7" x14ac:dyDescent="0.25">
      <c r="A451" s="23">
        <v>2023</v>
      </c>
      <c r="B451" s="23" t="s">
        <v>192</v>
      </c>
      <c r="C451" s="23" t="s">
        <v>181</v>
      </c>
      <c r="D451" s="23" t="s">
        <v>190</v>
      </c>
      <c r="E451" s="23">
        <v>138</v>
      </c>
      <c r="F451" s="14">
        <v>83</v>
      </c>
      <c r="G451" s="23">
        <v>221</v>
      </c>
    </row>
    <row r="452" spans="1:7" x14ac:dyDescent="0.25">
      <c r="A452" s="23">
        <v>2023</v>
      </c>
      <c r="B452" s="23" t="s">
        <v>192</v>
      </c>
      <c r="C452" s="23" t="s">
        <v>182</v>
      </c>
      <c r="D452" s="23" t="s">
        <v>188</v>
      </c>
      <c r="E452" s="23">
        <v>189</v>
      </c>
      <c r="F452" s="14">
        <v>24</v>
      </c>
      <c r="G452" s="23">
        <v>213</v>
      </c>
    </row>
    <row r="453" spans="1:7" x14ac:dyDescent="0.25">
      <c r="A453" s="23">
        <v>2023</v>
      </c>
      <c r="B453" s="23" t="s">
        <v>192</v>
      </c>
      <c r="C453" s="23" t="s">
        <v>182</v>
      </c>
      <c r="D453" s="23" t="s">
        <v>190</v>
      </c>
      <c r="E453" s="23">
        <v>255</v>
      </c>
      <c r="F453" s="14">
        <v>94</v>
      </c>
      <c r="G453" s="23">
        <v>349</v>
      </c>
    </row>
    <row r="454" spans="1:7" x14ac:dyDescent="0.25">
      <c r="A454" s="23">
        <v>2023</v>
      </c>
      <c r="B454" s="23" t="s">
        <v>192</v>
      </c>
      <c r="C454" s="23" t="s">
        <v>197</v>
      </c>
      <c r="D454" s="23" t="s">
        <v>188</v>
      </c>
      <c r="E454" s="23">
        <v>147</v>
      </c>
      <c r="F454" s="14">
        <v>20</v>
      </c>
      <c r="G454" s="23">
        <v>167</v>
      </c>
    </row>
    <row r="455" spans="1:7" x14ac:dyDescent="0.25">
      <c r="A455" s="23">
        <v>2023</v>
      </c>
      <c r="B455" s="23" t="s">
        <v>192</v>
      </c>
      <c r="C455" s="23" t="s">
        <v>197</v>
      </c>
      <c r="D455" s="23" t="s">
        <v>190</v>
      </c>
      <c r="E455" s="23">
        <v>249</v>
      </c>
      <c r="F455" s="14">
        <v>79</v>
      </c>
      <c r="G455" s="23">
        <v>328</v>
      </c>
    </row>
    <row r="456" spans="1:7" x14ac:dyDescent="0.25">
      <c r="A456" s="23">
        <v>2023</v>
      </c>
      <c r="B456" s="23" t="s">
        <v>192</v>
      </c>
      <c r="C456" s="23" t="s">
        <v>198</v>
      </c>
      <c r="D456" s="23" t="s">
        <v>188</v>
      </c>
      <c r="E456" s="23">
        <v>142</v>
      </c>
      <c r="F456" s="14">
        <v>83</v>
      </c>
      <c r="G456" s="23">
        <v>225</v>
      </c>
    </row>
    <row r="457" spans="1:7" x14ac:dyDescent="0.25">
      <c r="A457" s="23">
        <v>2023</v>
      </c>
      <c r="B457" s="23" t="s">
        <v>192</v>
      </c>
      <c r="C457" s="23" t="s">
        <v>198</v>
      </c>
      <c r="D457" s="23" t="s">
        <v>190</v>
      </c>
      <c r="E457" s="23">
        <v>177</v>
      </c>
      <c r="F457" s="14">
        <v>64</v>
      </c>
      <c r="G457" s="23">
        <v>241</v>
      </c>
    </row>
    <row r="458" spans="1:7" x14ac:dyDescent="0.25">
      <c r="A458" s="23">
        <v>2023</v>
      </c>
      <c r="B458" s="23" t="s">
        <v>192</v>
      </c>
      <c r="C458" s="23" t="s">
        <v>199</v>
      </c>
      <c r="D458" s="23" t="s">
        <v>188</v>
      </c>
      <c r="E458" s="23">
        <v>108</v>
      </c>
      <c r="F458" s="14">
        <v>21</v>
      </c>
      <c r="G458" s="23">
        <v>129</v>
      </c>
    </row>
    <row r="459" spans="1:7" x14ac:dyDescent="0.25">
      <c r="A459" s="23">
        <v>2023</v>
      </c>
      <c r="B459" s="23" t="s">
        <v>192</v>
      </c>
      <c r="C459" s="23" t="s">
        <v>199</v>
      </c>
      <c r="D459" s="23" t="s">
        <v>190</v>
      </c>
      <c r="E459" s="23">
        <v>158</v>
      </c>
      <c r="F459" s="14">
        <v>48</v>
      </c>
      <c r="G459" s="23">
        <v>206</v>
      </c>
    </row>
    <row r="460" spans="1:7" x14ac:dyDescent="0.25">
      <c r="A460" s="23">
        <v>2023</v>
      </c>
      <c r="B460" s="23" t="s">
        <v>192</v>
      </c>
      <c r="C460" s="23" t="s">
        <v>200</v>
      </c>
      <c r="D460" s="23" t="s">
        <v>188</v>
      </c>
      <c r="E460" s="23">
        <v>146</v>
      </c>
      <c r="F460" s="14">
        <v>98</v>
      </c>
      <c r="G460" s="23">
        <v>244</v>
      </c>
    </row>
    <row r="461" spans="1:7" x14ac:dyDescent="0.25">
      <c r="A461" s="23">
        <v>2023</v>
      </c>
      <c r="B461" s="23" t="s">
        <v>192</v>
      </c>
      <c r="C461" s="23" t="s">
        <v>200</v>
      </c>
      <c r="D461" s="23" t="s">
        <v>190</v>
      </c>
      <c r="E461" s="23">
        <v>144</v>
      </c>
      <c r="F461" s="14">
        <v>65</v>
      </c>
      <c r="G461" s="23">
        <v>209</v>
      </c>
    </row>
    <row r="462" spans="1:7" x14ac:dyDescent="0.25">
      <c r="A462" s="23">
        <v>2023</v>
      </c>
      <c r="B462" s="23" t="s">
        <v>192</v>
      </c>
      <c r="C462" s="23" t="s">
        <v>201</v>
      </c>
      <c r="D462" s="23" t="s">
        <v>188</v>
      </c>
      <c r="E462" s="23">
        <v>131</v>
      </c>
      <c r="F462" s="14">
        <v>44</v>
      </c>
      <c r="G462" s="23">
        <v>175</v>
      </c>
    </row>
    <row r="463" spans="1:7" x14ac:dyDescent="0.25">
      <c r="A463" s="23">
        <v>2023</v>
      </c>
      <c r="B463" s="23" t="s">
        <v>192</v>
      </c>
      <c r="C463" s="23" t="s">
        <v>201</v>
      </c>
      <c r="D463" s="23" t="s">
        <v>190</v>
      </c>
      <c r="E463" s="23">
        <v>214</v>
      </c>
      <c r="F463" s="14">
        <v>61</v>
      </c>
      <c r="G463" s="23">
        <v>275</v>
      </c>
    </row>
    <row r="464" spans="1:7" x14ac:dyDescent="0.25">
      <c r="A464" s="23">
        <v>2023</v>
      </c>
      <c r="B464" s="23" t="s">
        <v>192</v>
      </c>
      <c r="C464" s="23" t="s">
        <v>202</v>
      </c>
      <c r="D464" s="23" t="s">
        <v>188</v>
      </c>
      <c r="E464" s="23">
        <v>212</v>
      </c>
      <c r="F464" s="14">
        <v>46</v>
      </c>
      <c r="G464" s="23">
        <v>258</v>
      </c>
    </row>
    <row r="465" spans="1:7" x14ac:dyDescent="0.25">
      <c r="A465" s="23">
        <v>2023</v>
      </c>
      <c r="B465" s="23" t="s">
        <v>192</v>
      </c>
      <c r="C465" s="23" t="s">
        <v>202</v>
      </c>
      <c r="D465" s="23" t="s">
        <v>190</v>
      </c>
      <c r="E465" s="23">
        <v>115</v>
      </c>
      <c r="F465" s="14">
        <v>10</v>
      </c>
      <c r="G465" s="23">
        <v>125</v>
      </c>
    </row>
    <row r="466" spans="1:7" x14ac:dyDescent="0.25">
      <c r="A466" s="23">
        <v>2023</v>
      </c>
      <c r="B466" s="23" t="s">
        <v>196</v>
      </c>
      <c r="C466" s="23" t="s">
        <v>181</v>
      </c>
      <c r="D466" s="23" t="s">
        <v>188</v>
      </c>
      <c r="E466" s="23">
        <v>44</v>
      </c>
      <c r="F466" s="14">
        <v>95</v>
      </c>
      <c r="G466" s="23">
        <v>139</v>
      </c>
    </row>
    <row r="467" spans="1:7" x14ac:dyDescent="0.25">
      <c r="A467" s="23">
        <v>2023</v>
      </c>
      <c r="B467" s="23" t="s">
        <v>196</v>
      </c>
      <c r="C467" s="23" t="s">
        <v>181</v>
      </c>
      <c r="D467" s="23" t="s">
        <v>190</v>
      </c>
      <c r="E467" s="23">
        <v>125</v>
      </c>
      <c r="F467" s="14">
        <v>80</v>
      </c>
      <c r="G467" s="23">
        <v>205</v>
      </c>
    </row>
    <row r="468" spans="1:7" x14ac:dyDescent="0.25">
      <c r="A468" s="23">
        <v>2023</v>
      </c>
      <c r="B468" s="23" t="s">
        <v>196</v>
      </c>
      <c r="C468" s="23" t="s">
        <v>182</v>
      </c>
      <c r="D468" s="23" t="s">
        <v>188</v>
      </c>
      <c r="E468" s="23">
        <v>149</v>
      </c>
      <c r="F468" s="14">
        <v>31</v>
      </c>
      <c r="G468" s="23">
        <v>180</v>
      </c>
    </row>
    <row r="469" spans="1:7" x14ac:dyDescent="0.25">
      <c r="A469" s="23">
        <v>2023</v>
      </c>
      <c r="B469" s="23" t="s">
        <v>196</v>
      </c>
      <c r="C469" s="23" t="s">
        <v>182</v>
      </c>
      <c r="D469" s="23" t="s">
        <v>190</v>
      </c>
      <c r="E469" s="23">
        <v>77</v>
      </c>
      <c r="F469" s="14">
        <v>14</v>
      </c>
      <c r="G469" s="23">
        <v>91</v>
      </c>
    </row>
    <row r="470" spans="1:7" x14ac:dyDescent="0.25">
      <c r="A470" s="23">
        <v>2023</v>
      </c>
      <c r="B470" s="23" t="s">
        <v>196</v>
      </c>
      <c r="C470" s="23" t="s">
        <v>197</v>
      </c>
      <c r="D470" s="23" t="s">
        <v>188</v>
      </c>
      <c r="E470" s="23">
        <v>55</v>
      </c>
      <c r="F470" s="14">
        <v>21</v>
      </c>
      <c r="G470" s="23">
        <v>76</v>
      </c>
    </row>
    <row r="471" spans="1:7" x14ac:dyDescent="0.25">
      <c r="A471" s="23">
        <v>2023</v>
      </c>
      <c r="B471" s="23" t="s">
        <v>196</v>
      </c>
      <c r="C471" s="23" t="s">
        <v>197</v>
      </c>
      <c r="D471" s="23" t="s">
        <v>190</v>
      </c>
      <c r="E471" s="23">
        <v>253</v>
      </c>
      <c r="F471" s="14">
        <v>94</v>
      </c>
      <c r="G471" s="23">
        <v>347</v>
      </c>
    </row>
    <row r="472" spans="1:7" x14ac:dyDescent="0.25">
      <c r="A472" s="23">
        <v>2023</v>
      </c>
      <c r="B472" s="23" t="s">
        <v>196</v>
      </c>
      <c r="C472" s="23" t="s">
        <v>198</v>
      </c>
      <c r="D472" s="23" t="s">
        <v>188</v>
      </c>
      <c r="E472" s="23">
        <v>164</v>
      </c>
      <c r="F472" s="14">
        <v>49</v>
      </c>
      <c r="G472" s="23">
        <v>213</v>
      </c>
    </row>
    <row r="473" spans="1:7" x14ac:dyDescent="0.25">
      <c r="A473" s="23">
        <v>2023</v>
      </c>
      <c r="B473" s="23" t="s">
        <v>196</v>
      </c>
      <c r="C473" s="23" t="s">
        <v>198</v>
      </c>
      <c r="D473" s="23" t="s">
        <v>190</v>
      </c>
      <c r="E473" s="23">
        <v>79</v>
      </c>
      <c r="F473" s="14">
        <v>12</v>
      </c>
      <c r="G473" s="23">
        <v>91</v>
      </c>
    </row>
    <row r="474" spans="1:7" x14ac:dyDescent="0.25">
      <c r="A474" s="23">
        <v>2023</v>
      </c>
      <c r="B474" s="23" t="s">
        <v>196</v>
      </c>
      <c r="C474" s="23" t="s">
        <v>199</v>
      </c>
      <c r="D474" s="23" t="s">
        <v>188</v>
      </c>
      <c r="E474" s="23">
        <v>60</v>
      </c>
      <c r="F474" s="14">
        <v>100</v>
      </c>
      <c r="G474" s="23">
        <v>160</v>
      </c>
    </row>
    <row r="475" spans="1:7" x14ac:dyDescent="0.25">
      <c r="A475" s="23">
        <v>2023</v>
      </c>
      <c r="B475" s="23" t="s">
        <v>196</v>
      </c>
      <c r="C475" s="23" t="s">
        <v>199</v>
      </c>
      <c r="D475" s="23" t="s">
        <v>190</v>
      </c>
      <c r="E475" s="23">
        <v>92</v>
      </c>
      <c r="F475" s="14">
        <v>78</v>
      </c>
      <c r="G475" s="23">
        <v>170</v>
      </c>
    </row>
    <row r="476" spans="1:7" x14ac:dyDescent="0.25">
      <c r="A476" s="23">
        <v>2023</v>
      </c>
      <c r="B476" s="23" t="s">
        <v>196</v>
      </c>
      <c r="C476" s="23" t="s">
        <v>200</v>
      </c>
      <c r="D476" s="23" t="s">
        <v>188</v>
      </c>
      <c r="E476" s="23">
        <v>40</v>
      </c>
      <c r="F476" s="14">
        <v>79</v>
      </c>
      <c r="G476" s="23">
        <v>119</v>
      </c>
    </row>
    <row r="477" spans="1:7" x14ac:dyDescent="0.25">
      <c r="A477" s="23">
        <v>2023</v>
      </c>
      <c r="B477" s="23" t="s">
        <v>196</v>
      </c>
      <c r="C477" s="23" t="s">
        <v>200</v>
      </c>
      <c r="D477" s="23" t="s">
        <v>190</v>
      </c>
      <c r="E477" s="23">
        <v>193</v>
      </c>
      <c r="F477" s="14">
        <v>23</v>
      </c>
      <c r="G477" s="23">
        <v>216</v>
      </c>
    </row>
    <row r="478" spans="1:7" x14ac:dyDescent="0.25">
      <c r="A478" s="23">
        <v>2023</v>
      </c>
      <c r="B478" s="23" t="s">
        <v>196</v>
      </c>
      <c r="C478" s="23" t="s">
        <v>201</v>
      </c>
      <c r="D478" s="23" t="s">
        <v>188</v>
      </c>
      <c r="E478" s="23">
        <v>239</v>
      </c>
      <c r="F478" s="14">
        <v>44</v>
      </c>
      <c r="G478" s="23">
        <v>283</v>
      </c>
    </row>
    <row r="479" spans="1:7" x14ac:dyDescent="0.25">
      <c r="A479" s="23">
        <v>2023</v>
      </c>
      <c r="B479" s="23" t="s">
        <v>196</v>
      </c>
      <c r="C479" s="23" t="s">
        <v>201</v>
      </c>
      <c r="D479" s="23" t="s">
        <v>190</v>
      </c>
      <c r="E479" s="23">
        <v>129</v>
      </c>
      <c r="F479" s="14">
        <v>83</v>
      </c>
      <c r="G479" s="23">
        <v>212</v>
      </c>
    </row>
    <row r="480" spans="1:7" x14ac:dyDescent="0.25">
      <c r="A480" s="23">
        <v>2023</v>
      </c>
      <c r="B480" s="23" t="s">
        <v>196</v>
      </c>
      <c r="C480" s="23" t="s">
        <v>202</v>
      </c>
      <c r="D480" s="23" t="s">
        <v>188</v>
      </c>
      <c r="E480" s="23">
        <v>203</v>
      </c>
      <c r="F480" s="14">
        <v>75</v>
      </c>
      <c r="G480" s="23">
        <v>278</v>
      </c>
    </row>
    <row r="481" spans="1:7" x14ac:dyDescent="0.25">
      <c r="A481" s="23">
        <v>2023</v>
      </c>
      <c r="B481" s="23" t="s">
        <v>196</v>
      </c>
      <c r="C481" s="23" t="s">
        <v>202</v>
      </c>
      <c r="D481" s="23" t="s">
        <v>190</v>
      </c>
      <c r="E481" s="23">
        <v>232</v>
      </c>
      <c r="F481" s="14">
        <v>37</v>
      </c>
      <c r="G481" s="23">
        <v>269</v>
      </c>
    </row>
    <row r="482" spans="1:7" x14ac:dyDescent="0.25">
      <c r="A482" s="23">
        <v>2023</v>
      </c>
      <c r="B482" s="23" t="s">
        <v>194</v>
      </c>
      <c r="C482" s="23" t="s">
        <v>181</v>
      </c>
      <c r="D482" s="23" t="s">
        <v>188</v>
      </c>
      <c r="E482" s="23">
        <v>88</v>
      </c>
      <c r="F482" s="14">
        <v>45</v>
      </c>
      <c r="G482" s="23">
        <v>133</v>
      </c>
    </row>
    <row r="483" spans="1:7" x14ac:dyDescent="0.25">
      <c r="A483" s="23">
        <v>2023</v>
      </c>
      <c r="B483" s="23" t="s">
        <v>194</v>
      </c>
      <c r="C483" s="23" t="s">
        <v>181</v>
      </c>
      <c r="D483" s="23" t="s">
        <v>190</v>
      </c>
      <c r="E483" s="23">
        <v>42</v>
      </c>
      <c r="F483" s="14">
        <v>104</v>
      </c>
      <c r="G483" s="23">
        <v>146</v>
      </c>
    </row>
    <row r="484" spans="1:7" x14ac:dyDescent="0.25">
      <c r="A484" s="23">
        <v>2023</v>
      </c>
      <c r="B484" s="23" t="s">
        <v>194</v>
      </c>
      <c r="C484" s="23" t="s">
        <v>182</v>
      </c>
      <c r="D484" s="23" t="s">
        <v>188</v>
      </c>
      <c r="E484" s="23">
        <v>179</v>
      </c>
      <c r="F484" s="14">
        <v>50</v>
      </c>
      <c r="G484" s="23">
        <v>229</v>
      </c>
    </row>
    <row r="485" spans="1:7" x14ac:dyDescent="0.25">
      <c r="A485" s="23">
        <v>2023</v>
      </c>
      <c r="B485" s="23" t="s">
        <v>194</v>
      </c>
      <c r="C485" s="23" t="s">
        <v>182</v>
      </c>
      <c r="D485" s="23" t="s">
        <v>190</v>
      </c>
      <c r="E485" s="23">
        <v>203</v>
      </c>
      <c r="F485" s="14">
        <v>22</v>
      </c>
      <c r="G485" s="23">
        <v>225</v>
      </c>
    </row>
    <row r="486" spans="1:7" x14ac:dyDescent="0.25">
      <c r="A486" s="23">
        <v>2023</v>
      </c>
      <c r="B486" s="23" t="s">
        <v>194</v>
      </c>
      <c r="C486" s="23" t="s">
        <v>197</v>
      </c>
      <c r="D486" s="23" t="s">
        <v>188</v>
      </c>
      <c r="E486" s="23">
        <v>53</v>
      </c>
      <c r="F486" s="14">
        <v>80</v>
      </c>
      <c r="G486" s="23">
        <v>133</v>
      </c>
    </row>
    <row r="487" spans="1:7" x14ac:dyDescent="0.25">
      <c r="A487" s="23">
        <v>2023</v>
      </c>
      <c r="B487" s="23" t="s">
        <v>194</v>
      </c>
      <c r="C487" s="23" t="s">
        <v>197</v>
      </c>
      <c r="D487" s="23" t="s">
        <v>190</v>
      </c>
      <c r="E487" s="23">
        <v>55</v>
      </c>
      <c r="F487" s="14">
        <v>65</v>
      </c>
      <c r="G487" s="23">
        <v>120</v>
      </c>
    </row>
    <row r="488" spans="1:7" x14ac:dyDescent="0.25">
      <c r="A488" s="23">
        <v>2023</v>
      </c>
      <c r="B488" s="23" t="s">
        <v>194</v>
      </c>
      <c r="C488" s="23" t="s">
        <v>198</v>
      </c>
      <c r="D488" s="23" t="s">
        <v>188</v>
      </c>
      <c r="E488" s="23">
        <v>79</v>
      </c>
      <c r="F488" s="14">
        <v>61</v>
      </c>
      <c r="G488" s="23">
        <v>140</v>
      </c>
    </row>
    <row r="489" spans="1:7" x14ac:dyDescent="0.25">
      <c r="A489" s="23">
        <v>2023</v>
      </c>
      <c r="B489" s="23" t="s">
        <v>194</v>
      </c>
      <c r="C489" s="23" t="s">
        <v>198</v>
      </c>
      <c r="D489" s="23" t="s">
        <v>190</v>
      </c>
      <c r="E489" s="23">
        <v>150</v>
      </c>
      <c r="F489" s="14">
        <v>73</v>
      </c>
      <c r="G489" s="23">
        <v>223</v>
      </c>
    </row>
    <row r="490" spans="1:7" x14ac:dyDescent="0.25">
      <c r="A490" s="23">
        <v>2023</v>
      </c>
      <c r="B490" s="23" t="s">
        <v>194</v>
      </c>
      <c r="C490" s="23" t="s">
        <v>199</v>
      </c>
      <c r="D490" s="23" t="s">
        <v>188</v>
      </c>
      <c r="E490" s="23">
        <v>235</v>
      </c>
      <c r="F490" s="14">
        <v>47</v>
      </c>
      <c r="G490" s="23">
        <v>282</v>
      </c>
    </row>
    <row r="491" spans="1:7" x14ac:dyDescent="0.25">
      <c r="A491" s="23">
        <v>2023</v>
      </c>
      <c r="B491" s="23" t="s">
        <v>194</v>
      </c>
      <c r="C491" s="23" t="s">
        <v>199</v>
      </c>
      <c r="D491" s="23" t="s">
        <v>190</v>
      </c>
      <c r="E491" s="23">
        <v>57</v>
      </c>
      <c r="F491" s="14">
        <v>67</v>
      </c>
      <c r="G491" s="23">
        <v>124</v>
      </c>
    </row>
    <row r="492" spans="1:7" x14ac:dyDescent="0.25">
      <c r="A492" s="23">
        <v>2023</v>
      </c>
      <c r="B492" s="23" t="s">
        <v>194</v>
      </c>
      <c r="C492" s="23" t="s">
        <v>200</v>
      </c>
      <c r="D492" s="23" t="s">
        <v>188</v>
      </c>
      <c r="E492" s="23">
        <v>198</v>
      </c>
      <c r="F492" s="14">
        <v>84</v>
      </c>
      <c r="G492" s="23">
        <v>282</v>
      </c>
    </row>
    <row r="493" spans="1:7" x14ac:dyDescent="0.25">
      <c r="A493" s="23">
        <v>2023</v>
      </c>
      <c r="B493" s="23" t="s">
        <v>194</v>
      </c>
      <c r="C493" s="23" t="s">
        <v>200</v>
      </c>
      <c r="D493" s="23" t="s">
        <v>190</v>
      </c>
      <c r="E493" s="23">
        <v>175</v>
      </c>
      <c r="F493" s="14">
        <v>65</v>
      </c>
      <c r="G493" s="23">
        <v>240</v>
      </c>
    </row>
    <row r="494" spans="1:7" x14ac:dyDescent="0.25">
      <c r="A494" s="23">
        <v>2023</v>
      </c>
      <c r="B494" s="23" t="s">
        <v>194</v>
      </c>
      <c r="C494" s="23" t="s">
        <v>201</v>
      </c>
      <c r="D494" s="23" t="s">
        <v>188</v>
      </c>
      <c r="E494" s="23">
        <v>196</v>
      </c>
      <c r="F494" s="14">
        <v>43</v>
      </c>
      <c r="G494" s="23">
        <v>239</v>
      </c>
    </row>
    <row r="495" spans="1:7" x14ac:dyDescent="0.25">
      <c r="A495" s="23">
        <v>2023</v>
      </c>
      <c r="B495" s="23" t="s">
        <v>194</v>
      </c>
      <c r="C495" s="23" t="s">
        <v>201</v>
      </c>
      <c r="D495" s="23" t="s">
        <v>190</v>
      </c>
      <c r="E495" s="23">
        <v>140</v>
      </c>
      <c r="F495" s="14">
        <v>46</v>
      </c>
      <c r="G495" s="23">
        <v>186</v>
      </c>
    </row>
    <row r="496" spans="1:7" x14ac:dyDescent="0.25">
      <c r="A496" s="23">
        <v>2023</v>
      </c>
      <c r="B496" s="23" t="s">
        <v>194</v>
      </c>
      <c r="C496" s="23" t="s">
        <v>202</v>
      </c>
      <c r="D496" s="23" t="s">
        <v>188</v>
      </c>
      <c r="E496" s="23">
        <v>219</v>
      </c>
      <c r="F496" s="14">
        <v>38</v>
      </c>
      <c r="G496" s="23">
        <v>257</v>
      </c>
    </row>
    <row r="497" spans="1:7" x14ac:dyDescent="0.25">
      <c r="A497" s="23">
        <v>2023</v>
      </c>
      <c r="B497" s="23" t="s">
        <v>194</v>
      </c>
      <c r="C497" s="23" t="s">
        <v>202</v>
      </c>
      <c r="D497" s="23" t="s">
        <v>190</v>
      </c>
      <c r="E497" s="23">
        <v>216</v>
      </c>
      <c r="F497" s="14">
        <v>49</v>
      </c>
      <c r="G497" s="23">
        <v>265</v>
      </c>
    </row>
    <row r="498" spans="1:7" x14ac:dyDescent="0.25">
      <c r="A498" s="23">
        <v>2023</v>
      </c>
      <c r="B498" s="23" t="s">
        <v>195</v>
      </c>
      <c r="C498" s="23" t="s">
        <v>181</v>
      </c>
      <c r="D498" s="23" t="s">
        <v>188</v>
      </c>
      <c r="E498" s="23">
        <v>115</v>
      </c>
      <c r="F498" s="14">
        <v>31</v>
      </c>
      <c r="G498" s="23">
        <v>146</v>
      </c>
    </row>
    <row r="499" spans="1:7" x14ac:dyDescent="0.25">
      <c r="A499" s="23">
        <v>2023</v>
      </c>
      <c r="B499" s="23" t="s">
        <v>195</v>
      </c>
      <c r="C499" s="23" t="s">
        <v>181</v>
      </c>
      <c r="D499" s="23" t="s">
        <v>190</v>
      </c>
      <c r="E499" s="23">
        <v>95</v>
      </c>
      <c r="F499" s="14">
        <v>70</v>
      </c>
      <c r="G499" s="23">
        <v>165</v>
      </c>
    </row>
    <row r="500" spans="1:7" x14ac:dyDescent="0.25">
      <c r="A500" s="23">
        <v>2023</v>
      </c>
      <c r="B500" s="23" t="s">
        <v>195</v>
      </c>
      <c r="C500" s="23" t="s">
        <v>182</v>
      </c>
      <c r="D500" s="23" t="s">
        <v>188</v>
      </c>
      <c r="E500" s="23">
        <v>205</v>
      </c>
      <c r="F500" s="14">
        <v>74</v>
      </c>
      <c r="G500" s="23">
        <v>279</v>
      </c>
    </row>
    <row r="501" spans="1:7" x14ac:dyDescent="0.25">
      <c r="A501" s="23">
        <v>2023</v>
      </c>
      <c r="B501" s="23" t="s">
        <v>195</v>
      </c>
      <c r="C501" s="23" t="s">
        <v>182</v>
      </c>
      <c r="D501" s="23" t="s">
        <v>190</v>
      </c>
      <c r="E501" s="23">
        <v>97</v>
      </c>
      <c r="F501" s="14">
        <v>35</v>
      </c>
      <c r="G501" s="23">
        <v>132</v>
      </c>
    </row>
    <row r="502" spans="1:7" x14ac:dyDescent="0.25">
      <c r="A502" s="23">
        <v>2023</v>
      </c>
      <c r="B502" s="23" t="s">
        <v>195</v>
      </c>
      <c r="C502" s="23" t="s">
        <v>197</v>
      </c>
      <c r="D502" s="23" t="s">
        <v>188</v>
      </c>
      <c r="E502" s="23">
        <v>146</v>
      </c>
      <c r="F502" s="14">
        <v>30</v>
      </c>
      <c r="G502" s="23">
        <v>176</v>
      </c>
    </row>
    <row r="503" spans="1:7" x14ac:dyDescent="0.25">
      <c r="A503" s="23">
        <v>2023</v>
      </c>
      <c r="B503" s="23" t="s">
        <v>195</v>
      </c>
      <c r="C503" s="23" t="s">
        <v>197</v>
      </c>
      <c r="D503" s="23" t="s">
        <v>190</v>
      </c>
      <c r="E503" s="23">
        <v>183</v>
      </c>
      <c r="F503" s="14">
        <v>106</v>
      </c>
      <c r="G503" s="23">
        <v>289</v>
      </c>
    </row>
    <row r="504" spans="1:7" x14ac:dyDescent="0.25">
      <c r="A504" s="23">
        <v>2023</v>
      </c>
      <c r="B504" s="23" t="s">
        <v>195</v>
      </c>
      <c r="C504" s="23" t="s">
        <v>198</v>
      </c>
      <c r="D504" s="23" t="s">
        <v>188</v>
      </c>
      <c r="E504" s="23">
        <v>117</v>
      </c>
      <c r="F504" s="14">
        <v>52</v>
      </c>
      <c r="G504" s="23">
        <v>169</v>
      </c>
    </row>
    <row r="505" spans="1:7" x14ac:dyDescent="0.25">
      <c r="A505" s="23">
        <v>2023</v>
      </c>
      <c r="B505" s="23" t="s">
        <v>195</v>
      </c>
      <c r="C505" s="23" t="s">
        <v>198</v>
      </c>
      <c r="D505" s="23" t="s">
        <v>190</v>
      </c>
      <c r="E505" s="23">
        <v>237</v>
      </c>
      <c r="F505" s="14">
        <v>71</v>
      </c>
      <c r="G505" s="23">
        <v>308</v>
      </c>
    </row>
    <row r="506" spans="1:7" x14ac:dyDescent="0.25">
      <c r="A506" s="23">
        <v>2023</v>
      </c>
      <c r="B506" s="23" t="s">
        <v>195</v>
      </c>
      <c r="C506" s="23" t="s">
        <v>199</v>
      </c>
      <c r="D506" s="23" t="s">
        <v>188</v>
      </c>
      <c r="E506" s="23">
        <v>200</v>
      </c>
      <c r="F506" s="14">
        <v>109</v>
      </c>
      <c r="G506" s="23">
        <v>309</v>
      </c>
    </row>
    <row r="507" spans="1:7" x14ac:dyDescent="0.25">
      <c r="A507" s="23">
        <v>2023</v>
      </c>
      <c r="B507" s="23" t="s">
        <v>195</v>
      </c>
      <c r="C507" s="23" t="s">
        <v>199</v>
      </c>
      <c r="D507" s="23" t="s">
        <v>190</v>
      </c>
      <c r="E507" s="23">
        <v>133</v>
      </c>
      <c r="F507" s="14">
        <v>104</v>
      </c>
      <c r="G507" s="23">
        <v>237</v>
      </c>
    </row>
    <row r="508" spans="1:7" x14ac:dyDescent="0.25">
      <c r="A508" s="23">
        <v>2023</v>
      </c>
      <c r="B508" s="23" t="s">
        <v>195</v>
      </c>
      <c r="C508" s="23" t="s">
        <v>200</v>
      </c>
      <c r="D508" s="23" t="s">
        <v>188</v>
      </c>
      <c r="E508" s="23">
        <v>212</v>
      </c>
      <c r="F508" s="14">
        <v>28</v>
      </c>
      <c r="G508" s="23">
        <v>240</v>
      </c>
    </row>
    <row r="509" spans="1:7" x14ac:dyDescent="0.25">
      <c r="A509" s="23">
        <v>2023</v>
      </c>
      <c r="B509" s="23" t="s">
        <v>195</v>
      </c>
      <c r="C509" s="23" t="s">
        <v>200</v>
      </c>
      <c r="D509" s="23" t="s">
        <v>190</v>
      </c>
      <c r="E509" s="23">
        <v>80</v>
      </c>
      <c r="F509" s="14">
        <v>103</v>
      </c>
      <c r="G509" s="23">
        <v>183</v>
      </c>
    </row>
    <row r="510" spans="1:7" x14ac:dyDescent="0.25">
      <c r="A510" s="23">
        <v>2023</v>
      </c>
      <c r="B510" s="23" t="s">
        <v>195</v>
      </c>
      <c r="C510" s="23" t="s">
        <v>201</v>
      </c>
      <c r="D510" s="23" t="s">
        <v>188</v>
      </c>
      <c r="E510" s="23">
        <v>201</v>
      </c>
      <c r="F510" s="14">
        <v>71</v>
      </c>
      <c r="G510" s="23">
        <v>272</v>
      </c>
    </row>
    <row r="511" spans="1:7" x14ac:dyDescent="0.25">
      <c r="A511" s="23">
        <v>2023</v>
      </c>
      <c r="B511" s="23" t="s">
        <v>195</v>
      </c>
      <c r="C511" s="23" t="s">
        <v>201</v>
      </c>
      <c r="D511" s="23" t="s">
        <v>190</v>
      </c>
      <c r="E511" s="23">
        <v>50</v>
      </c>
      <c r="F511" s="14">
        <v>36</v>
      </c>
      <c r="G511" s="23">
        <v>86</v>
      </c>
    </row>
    <row r="512" spans="1:7" x14ac:dyDescent="0.25">
      <c r="A512" s="23">
        <v>2023</v>
      </c>
      <c r="B512" s="23" t="s">
        <v>195</v>
      </c>
      <c r="C512" s="23" t="s">
        <v>202</v>
      </c>
      <c r="D512" s="23" t="s">
        <v>188</v>
      </c>
      <c r="E512" s="23">
        <v>236</v>
      </c>
      <c r="F512" s="14">
        <v>25</v>
      </c>
      <c r="G512" s="23">
        <v>261</v>
      </c>
    </row>
    <row r="513" spans="1:7" x14ac:dyDescent="0.25">
      <c r="A513" s="23">
        <v>2023</v>
      </c>
      <c r="B513" s="23" t="s">
        <v>195</v>
      </c>
      <c r="C513" s="23" t="s">
        <v>202</v>
      </c>
      <c r="D513" s="23" t="s">
        <v>190</v>
      </c>
      <c r="E513" s="23">
        <v>241</v>
      </c>
      <c r="F513" s="14">
        <v>23</v>
      </c>
      <c r="G513" s="23">
        <v>264</v>
      </c>
    </row>
    <row r="514" spans="1:7" x14ac:dyDescent="0.25">
      <c r="A514" s="23">
        <v>2024</v>
      </c>
      <c r="B514" s="23" t="s">
        <v>187</v>
      </c>
      <c r="C514" s="23" t="s">
        <v>181</v>
      </c>
      <c r="D514" s="23" t="s">
        <v>188</v>
      </c>
      <c r="E514" s="23">
        <v>185</v>
      </c>
      <c r="F514" s="14">
        <v>109</v>
      </c>
      <c r="G514" s="23">
        <v>294</v>
      </c>
    </row>
    <row r="515" spans="1:7" x14ac:dyDescent="0.25">
      <c r="A515" s="23">
        <v>2024</v>
      </c>
      <c r="B515" s="23" t="s">
        <v>187</v>
      </c>
      <c r="C515" s="23" t="s">
        <v>181</v>
      </c>
      <c r="D515" s="23" t="s">
        <v>190</v>
      </c>
      <c r="E515" s="23">
        <v>59</v>
      </c>
      <c r="F515" s="14">
        <v>53</v>
      </c>
      <c r="G515" s="23">
        <v>112</v>
      </c>
    </row>
    <row r="516" spans="1:7" x14ac:dyDescent="0.25">
      <c r="A516" s="23">
        <v>2024</v>
      </c>
      <c r="B516" s="23" t="s">
        <v>187</v>
      </c>
      <c r="C516" s="23" t="s">
        <v>182</v>
      </c>
      <c r="D516" s="23" t="s">
        <v>188</v>
      </c>
      <c r="E516" s="23">
        <v>135</v>
      </c>
      <c r="F516" s="14">
        <v>46</v>
      </c>
      <c r="G516" s="23">
        <v>181</v>
      </c>
    </row>
    <row r="517" spans="1:7" x14ac:dyDescent="0.25">
      <c r="A517" s="23">
        <v>2024</v>
      </c>
      <c r="B517" s="23" t="s">
        <v>187</v>
      </c>
      <c r="C517" s="23" t="s">
        <v>182</v>
      </c>
      <c r="D517" s="23" t="s">
        <v>190</v>
      </c>
      <c r="E517" s="23">
        <v>64</v>
      </c>
      <c r="F517" s="14">
        <v>21</v>
      </c>
      <c r="G517" s="23">
        <v>85</v>
      </c>
    </row>
    <row r="518" spans="1:7" x14ac:dyDescent="0.25">
      <c r="A518" s="23">
        <v>2024</v>
      </c>
      <c r="B518" s="23" t="s">
        <v>187</v>
      </c>
      <c r="C518" s="23" t="s">
        <v>197</v>
      </c>
      <c r="D518" s="23" t="s">
        <v>188</v>
      </c>
      <c r="E518" s="23">
        <v>163</v>
      </c>
      <c r="F518" s="14">
        <v>18</v>
      </c>
      <c r="G518" s="23">
        <v>181</v>
      </c>
    </row>
    <row r="519" spans="1:7" x14ac:dyDescent="0.25">
      <c r="A519" s="23">
        <v>2024</v>
      </c>
      <c r="B519" s="23" t="s">
        <v>187</v>
      </c>
      <c r="C519" s="23" t="s">
        <v>197</v>
      </c>
      <c r="D519" s="23" t="s">
        <v>190</v>
      </c>
      <c r="E519" s="23">
        <v>105</v>
      </c>
      <c r="F519" s="14">
        <v>17</v>
      </c>
      <c r="G519" s="23">
        <v>122</v>
      </c>
    </row>
    <row r="520" spans="1:7" x14ac:dyDescent="0.25">
      <c r="A520" s="23">
        <v>2024</v>
      </c>
      <c r="B520" s="23" t="s">
        <v>187</v>
      </c>
      <c r="C520" s="23" t="s">
        <v>198</v>
      </c>
      <c r="D520" s="23" t="s">
        <v>188</v>
      </c>
      <c r="E520" s="23">
        <v>221</v>
      </c>
      <c r="F520" s="14">
        <v>80</v>
      </c>
      <c r="G520" s="23">
        <v>301</v>
      </c>
    </row>
    <row r="521" spans="1:7" x14ac:dyDescent="0.25">
      <c r="A521" s="23">
        <v>2024</v>
      </c>
      <c r="B521" s="23" t="s">
        <v>187</v>
      </c>
      <c r="C521" s="23" t="s">
        <v>198</v>
      </c>
      <c r="D521" s="23" t="s">
        <v>190</v>
      </c>
      <c r="E521" s="23">
        <v>206</v>
      </c>
      <c r="F521" s="14">
        <v>76</v>
      </c>
      <c r="G521" s="23">
        <v>282</v>
      </c>
    </row>
    <row r="522" spans="1:7" x14ac:dyDescent="0.25">
      <c r="A522" s="23">
        <v>2024</v>
      </c>
      <c r="B522" s="23" t="s">
        <v>187</v>
      </c>
      <c r="C522" s="23" t="s">
        <v>199</v>
      </c>
      <c r="D522" s="23" t="s">
        <v>188</v>
      </c>
      <c r="E522" s="23">
        <v>119</v>
      </c>
      <c r="F522" s="14">
        <v>85</v>
      </c>
      <c r="G522" s="23">
        <v>204</v>
      </c>
    </row>
    <row r="523" spans="1:7" x14ac:dyDescent="0.25">
      <c r="A523" s="23">
        <v>2024</v>
      </c>
      <c r="B523" s="23" t="s">
        <v>187</v>
      </c>
      <c r="C523" s="23" t="s">
        <v>199</v>
      </c>
      <c r="D523" s="23" t="s">
        <v>190</v>
      </c>
      <c r="E523" s="23">
        <v>74</v>
      </c>
      <c r="F523" s="14">
        <v>50</v>
      </c>
      <c r="G523" s="23">
        <v>124</v>
      </c>
    </row>
    <row r="524" spans="1:7" x14ac:dyDescent="0.25">
      <c r="A524" s="23">
        <v>2024</v>
      </c>
      <c r="B524" s="23" t="s">
        <v>187</v>
      </c>
      <c r="C524" s="23" t="s">
        <v>200</v>
      </c>
      <c r="D524" s="23" t="s">
        <v>188</v>
      </c>
      <c r="E524" s="23">
        <v>144</v>
      </c>
      <c r="F524" s="14">
        <v>104</v>
      </c>
      <c r="G524" s="23">
        <v>248</v>
      </c>
    </row>
    <row r="525" spans="1:7" x14ac:dyDescent="0.25">
      <c r="A525" s="23">
        <v>2024</v>
      </c>
      <c r="B525" s="23" t="s">
        <v>187</v>
      </c>
      <c r="C525" s="23" t="s">
        <v>200</v>
      </c>
      <c r="D525" s="23" t="s">
        <v>190</v>
      </c>
      <c r="E525" s="23">
        <v>88</v>
      </c>
      <c r="F525" s="14">
        <v>63</v>
      </c>
      <c r="G525" s="23">
        <v>151</v>
      </c>
    </row>
    <row r="526" spans="1:7" x14ac:dyDescent="0.25">
      <c r="A526" s="23">
        <v>2024</v>
      </c>
      <c r="B526" s="23" t="s">
        <v>187</v>
      </c>
      <c r="C526" s="23" t="s">
        <v>201</v>
      </c>
      <c r="D526" s="23" t="s">
        <v>188</v>
      </c>
      <c r="E526" s="23">
        <v>197</v>
      </c>
      <c r="F526" s="14">
        <v>66</v>
      </c>
      <c r="G526" s="23">
        <v>263</v>
      </c>
    </row>
    <row r="527" spans="1:7" x14ac:dyDescent="0.25">
      <c r="A527" s="23">
        <v>2024</v>
      </c>
      <c r="B527" s="23" t="s">
        <v>187</v>
      </c>
      <c r="C527" s="23" t="s">
        <v>201</v>
      </c>
      <c r="D527" s="23" t="s">
        <v>190</v>
      </c>
      <c r="E527" s="23">
        <v>172</v>
      </c>
      <c r="F527" s="14">
        <v>109</v>
      </c>
      <c r="G527" s="23">
        <v>281</v>
      </c>
    </row>
    <row r="528" spans="1:7" x14ac:dyDescent="0.25">
      <c r="A528" s="23">
        <v>2024</v>
      </c>
      <c r="B528" s="23" t="s">
        <v>187</v>
      </c>
      <c r="C528" s="23" t="s">
        <v>202</v>
      </c>
      <c r="D528" s="23" t="s">
        <v>188</v>
      </c>
      <c r="E528" s="23">
        <v>126</v>
      </c>
      <c r="F528" s="14">
        <v>48</v>
      </c>
      <c r="G528" s="23">
        <v>174</v>
      </c>
    </row>
    <row r="529" spans="1:7" x14ac:dyDescent="0.25">
      <c r="A529" s="23">
        <v>2024</v>
      </c>
      <c r="B529" s="23" t="s">
        <v>187</v>
      </c>
      <c r="C529" s="23" t="s">
        <v>202</v>
      </c>
      <c r="D529" s="23" t="s">
        <v>190</v>
      </c>
      <c r="E529" s="23">
        <v>55</v>
      </c>
      <c r="F529" s="14">
        <v>45</v>
      </c>
      <c r="G529" s="23">
        <v>100</v>
      </c>
    </row>
    <row r="530" spans="1:7" x14ac:dyDescent="0.25">
      <c r="A530" s="23">
        <v>2024</v>
      </c>
      <c r="B530" s="23" t="s">
        <v>189</v>
      </c>
      <c r="C530" s="23" t="s">
        <v>181</v>
      </c>
      <c r="D530" s="23" t="s">
        <v>188</v>
      </c>
      <c r="E530" s="23">
        <v>257</v>
      </c>
      <c r="F530" s="14">
        <v>12</v>
      </c>
      <c r="G530" s="23">
        <v>269</v>
      </c>
    </row>
    <row r="531" spans="1:7" x14ac:dyDescent="0.25">
      <c r="A531" s="23">
        <v>2024</v>
      </c>
      <c r="B531" s="23" t="s">
        <v>189</v>
      </c>
      <c r="C531" s="23" t="s">
        <v>181</v>
      </c>
      <c r="D531" s="23" t="s">
        <v>190</v>
      </c>
      <c r="E531" s="23">
        <v>225</v>
      </c>
      <c r="F531" s="14">
        <v>62</v>
      </c>
      <c r="G531" s="23">
        <v>287</v>
      </c>
    </row>
    <row r="532" spans="1:7" x14ac:dyDescent="0.25">
      <c r="A532" s="23">
        <v>2024</v>
      </c>
      <c r="B532" s="23" t="s">
        <v>189</v>
      </c>
      <c r="C532" s="23" t="s">
        <v>182</v>
      </c>
      <c r="D532" s="23" t="s">
        <v>188</v>
      </c>
      <c r="E532" s="23">
        <v>89</v>
      </c>
      <c r="F532" s="14">
        <v>64</v>
      </c>
      <c r="G532" s="23">
        <v>153</v>
      </c>
    </row>
    <row r="533" spans="1:7" x14ac:dyDescent="0.25">
      <c r="A533" s="23">
        <v>2024</v>
      </c>
      <c r="B533" s="23" t="s">
        <v>189</v>
      </c>
      <c r="C533" s="23" t="s">
        <v>182</v>
      </c>
      <c r="D533" s="23" t="s">
        <v>190</v>
      </c>
      <c r="E533" s="23">
        <v>66</v>
      </c>
      <c r="F533" s="14">
        <v>74</v>
      </c>
      <c r="G533" s="23">
        <v>140</v>
      </c>
    </row>
    <row r="534" spans="1:7" x14ac:dyDescent="0.25">
      <c r="A534" s="23">
        <v>2024</v>
      </c>
      <c r="B534" s="23" t="s">
        <v>189</v>
      </c>
      <c r="C534" s="23" t="s">
        <v>197</v>
      </c>
      <c r="D534" s="23" t="s">
        <v>188</v>
      </c>
      <c r="E534" s="23">
        <v>100</v>
      </c>
      <c r="F534" s="14">
        <v>80</v>
      </c>
      <c r="G534" s="23">
        <v>180</v>
      </c>
    </row>
    <row r="535" spans="1:7" x14ac:dyDescent="0.25">
      <c r="A535" s="23">
        <v>2024</v>
      </c>
      <c r="B535" s="23" t="s">
        <v>189</v>
      </c>
      <c r="C535" s="23" t="s">
        <v>197</v>
      </c>
      <c r="D535" s="23" t="s">
        <v>190</v>
      </c>
      <c r="E535" s="23">
        <v>105</v>
      </c>
      <c r="F535" s="14">
        <v>90</v>
      </c>
      <c r="G535" s="23">
        <v>195</v>
      </c>
    </row>
    <row r="536" spans="1:7" x14ac:dyDescent="0.25">
      <c r="A536" s="23">
        <v>2024</v>
      </c>
      <c r="B536" s="23" t="s">
        <v>189</v>
      </c>
      <c r="C536" s="23" t="s">
        <v>198</v>
      </c>
      <c r="D536" s="23" t="s">
        <v>188</v>
      </c>
      <c r="E536" s="23">
        <v>115</v>
      </c>
      <c r="F536" s="14">
        <v>19</v>
      </c>
      <c r="G536" s="23">
        <v>134</v>
      </c>
    </row>
    <row r="537" spans="1:7" x14ac:dyDescent="0.25">
      <c r="A537" s="23">
        <v>2024</v>
      </c>
      <c r="B537" s="23" t="s">
        <v>189</v>
      </c>
      <c r="C537" s="23" t="s">
        <v>198</v>
      </c>
      <c r="D537" s="23" t="s">
        <v>190</v>
      </c>
      <c r="E537" s="23">
        <v>128</v>
      </c>
      <c r="F537" s="14">
        <v>19</v>
      </c>
      <c r="G537" s="23">
        <v>147</v>
      </c>
    </row>
    <row r="538" spans="1:7" x14ac:dyDescent="0.25">
      <c r="A538" s="23">
        <v>2024</v>
      </c>
      <c r="B538" s="23" t="s">
        <v>189</v>
      </c>
      <c r="C538" s="23" t="s">
        <v>199</v>
      </c>
      <c r="D538" s="23" t="s">
        <v>188</v>
      </c>
      <c r="E538" s="23">
        <v>143</v>
      </c>
      <c r="F538" s="14">
        <v>90</v>
      </c>
      <c r="G538" s="23">
        <v>233</v>
      </c>
    </row>
    <row r="539" spans="1:7" x14ac:dyDescent="0.25">
      <c r="A539" s="23">
        <v>2024</v>
      </c>
      <c r="B539" s="23" t="s">
        <v>189</v>
      </c>
      <c r="C539" s="23" t="s">
        <v>199</v>
      </c>
      <c r="D539" s="23" t="s">
        <v>190</v>
      </c>
      <c r="E539" s="23">
        <v>108</v>
      </c>
      <c r="F539" s="14">
        <v>106</v>
      </c>
      <c r="G539" s="23">
        <v>214</v>
      </c>
    </row>
    <row r="540" spans="1:7" x14ac:dyDescent="0.25">
      <c r="A540" s="23">
        <v>2024</v>
      </c>
      <c r="B540" s="23" t="s">
        <v>189</v>
      </c>
      <c r="C540" s="23" t="s">
        <v>200</v>
      </c>
      <c r="D540" s="23" t="s">
        <v>188</v>
      </c>
      <c r="E540" s="23">
        <v>78</v>
      </c>
      <c r="F540" s="14">
        <v>75</v>
      </c>
      <c r="G540" s="23">
        <v>153</v>
      </c>
    </row>
    <row r="541" spans="1:7" x14ac:dyDescent="0.25">
      <c r="A541" s="23">
        <v>2024</v>
      </c>
      <c r="B541" s="23" t="s">
        <v>189</v>
      </c>
      <c r="C541" s="23" t="s">
        <v>200</v>
      </c>
      <c r="D541" s="23" t="s">
        <v>190</v>
      </c>
      <c r="E541" s="23">
        <v>62</v>
      </c>
      <c r="F541" s="14">
        <v>109</v>
      </c>
      <c r="G541" s="23">
        <v>171</v>
      </c>
    </row>
    <row r="542" spans="1:7" x14ac:dyDescent="0.25">
      <c r="A542" s="23">
        <v>2024</v>
      </c>
      <c r="B542" s="23" t="s">
        <v>189</v>
      </c>
      <c r="C542" s="23" t="s">
        <v>201</v>
      </c>
      <c r="D542" s="23" t="s">
        <v>188</v>
      </c>
      <c r="E542" s="23">
        <v>40</v>
      </c>
      <c r="F542" s="14">
        <v>102</v>
      </c>
      <c r="G542" s="23">
        <v>142</v>
      </c>
    </row>
    <row r="543" spans="1:7" x14ac:dyDescent="0.25">
      <c r="A543" s="23">
        <v>2024</v>
      </c>
      <c r="B543" s="23" t="s">
        <v>189</v>
      </c>
      <c r="C543" s="23" t="s">
        <v>201</v>
      </c>
      <c r="D543" s="23" t="s">
        <v>190</v>
      </c>
      <c r="E543" s="23">
        <v>151</v>
      </c>
      <c r="F543" s="14">
        <v>109</v>
      </c>
      <c r="G543" s="23">
        <v>260</v>
      </c>
    </row>
    <row r="544" spans="1:7" x14ac:dyDescent="0.25">
      <c r="A544" s="23">
        <v>2024</v>
      </c>
      <c r="B544" s="23" t="s">
        <v>189</v>
      </c>
      <c r="C544" s="23" t="s">
        <v>202</v>
      </c>
      <c r="D544" s="23" t="s">
        <v>188</v>
      </c>
      <c r="E544" s="23">
        <v>218</v>
      </c>
      <c r="F544" s="14">
        <v>21</v>
      </c>
      <c r="G544" s="23">
        <v>239</v>
      </c>
    </row>
    <row r="545" spans="1:7" x14ac:dyDescent="0.25">
      <c r="A545" s="23">
        <v>2024</v>
      </c>
      <c r="B545" s="23" t="s">
        <v>189</v>
      </c>
      <c r="C545" s="23" t="s">
        <v>202</v>
      </c>
      <c r="D545" s="23" t="s">
        <v>190</v>
      </c>
      <c r="E545" s="23">
        <v>165</v>
      </c>
      <c r="F545" s="14">
        <v>53</v>
      </c>
      <c r="G545" s="23">
        <v>218</v>
      </c>
    </row>
    <row r="546" spans="1:7" x14ac:dyDescent="0.25">
      <c r="A546" s="23">
        <v>2024</v>
      </c>
      <c r="B546" s="23" t="s">
        <v>191</v>
      </c>
      <c r="C546" s="23" t="s">
        <v>181</v>
      </c>
      <c r="D546" s="23" t="s">
        <v>188</v>
      </c>
      <c r="E546" s="23">
        <v>196</v>
      </c>
      <c r="F546" s="14">
        <v>22</v>
      </c>
      <c r="G546" s="23">
        <v>218</v>
      </c>
    </row>
    <row r="547" spans="1:7" x14ac:dyDescent="0.25">
      <c r="A547" s="23">
        <v>2024</v>
      </c>
      <c r="B547" s="23" t="s">
        <v>191</v>
      </c>
      <c r="C547" s="23" t="s">
        <v>181</v>
      </c>
      <c r="D547" s="23" t="s">
        <v>190</v>
      </c>
      <c r="E547" s="23">
        <v>74</v>
      </c>
      <c r="F547" s="14">
        <v>40</v>
      </c>
      <c r="G547" s="23">
        <v>114</v>
      </c>
    </row>
    <row r="548" spans="1:7" x14ac:dyDescent="0.25">
      <c r="A548" s="23">
        <v>2024</v>
      </c>
      <c r="B548" s="23" t="s">
        <v>191</v>
      </c>
      <c r="C548" s="23" t="s">
        <v>182</v>
      </c>
      <c r="D548" s="23" t="s">
        <v>188</v>
      </c>
      <c r="E548" s="23">
        <v>136</v>
      </c>
      <c r="F548" s="14">
        <v>68</v>
      </c>
      <c r="G548" s="23">
        <v>204</v>
      </c>
    </row>
    <row r="549" spans="1:7" x14ac:dyDescent="0.25">
      <c r="A549" s="23">
        <v>2024</v>
      </c>
      <c r="B549" s="23" t="s">
        <v>191</v>
      </c>
      <c r="C549" s="23" t="s">
        <v>182</v>
      </c>
      <c r="D549" s="23" t="s">
        <v>190</v>
      </c>
      <c r="E549" s="23">
        <v>180</v>
      </c>
      <c r="F549" s="14">
        <v>107</v>
      </c>
      <c r="G549" s="23">
        <v>287</v>
      </c>
    </row>
    <row r="550" spans="1:7" x14ac:dyDescent="0.25">
      <c r="A550" s="23">
        <v>2024</v>
      </c>
      <c r="B550" s="23" t="s">
        <v>191</v>
      </c>
      <c r="C550" s="23" t="s">
        <v>197</v>
      </c>
      <c r="D550" s="23" t="s">
        <v>188</v>
      </c>
      <c r="E550" s="23">
        <v>255</v>
      </c>
      <c r="F550" s="14">
        <v>25</v>
      </c>
      <c r="G550" s="23">
        <v>280</v>
      </c>
    </row>
    <row r="551" spans="1:7" x14ac:dyDescent="0.25">
      <c r="A551" s="23">
        <v>2024</v>
      </c>
      <c r="B551" s="23" t="s">
        <v>191</v>
      </c>
      <c r="C551" s="23" t="s">
        <v>197</v>
      </c>
      <c r="D551" s="23" t="s">
        <v>190</v>
      </c>
      <c r="E551" s="23">
        <v>44</v>
      </c>
      <c r="F551" s="14">
        <v>84</v>
      </c>
      <c r="G551" s="23">
        <v>128</v>
      </c>
    </row>
    <row r="552" spans="1:7" x14ac:dyDescent="0.25">
      <c r="A552" s="23">
        <v>2024</v>
      </c>
      <c r="B552" s="23" t="s">
        <v>191</v>
      </c>
      <c r="C552" s="23" t="s">
        <v>198</v>
      </c>
      <c r="D552" s="23" t="s">
        <v>188</v>
      </c>
      <c r="E552" s="23">
        <v>135</v>
      </c>
      <c r="F552" s="14">
        <v>36</v>
      </c>
      <c r="G552" s="23">
        <v>171</v>
      </c>
    </row>
    <row r="553" spans="1:7" x14ac:dyDescent="0.25">
      <c r="A553" s="23">
        <v>2024</v>
      </c>
      <c r="B553" s="23" t="s">
        <v>191</v>
      </c>
      <c r="C553" s="23" t="s">
        <v>198</v>
      </c>
      <c r="D553" s="23" t="s">
        <v>190</v>
      </c>
      <c r="E553" s="23">
        <v>217</v>
      </c>
      <c r="F553" s="14">
        <v>72</v>
      </c>
      <c r="G553" s="23">
        <v>289</v>
      </c>
    </row>
    <row r="554" spans="1:7" x14ac:dyDescent="0.25">
      <c r="A554" s="23">
        <v>2024</v>
      </c>
      <c r="B554" s="23" t="s">
        <v>191</v>
      </c>
      <c r="C554" s="23" t="s">
        <v>199</v>
      </c>
      <c r="D554" s="23" t="s">
        <v>188</v>
      </c>
      <c r="E554" s="23">
        <v>48</v>
      </c>
      <c r="F554" s="14">
        <v>50</v>
      </c>
      <c r="G554" s="23">
        <v>98</v>
      </c>
    </row>
    <row r="555" spans="1:7" x14ac:dyDescent="0.25">
      <c r="A555" s="23">
        <v>2024</v>
      </c>
      <c r="B555" s="23" t="s">
        <v>191</v>
      </c>
      <c r="C555" s="23" t="s">
        <v>199</v>
      </c>
      <c r="D555" s="23" t="s">
        <v>190</v>
      </c>
      <c r="E555" s="23">
        <v>167</v>
      </c>
      <c r="F555" s="14">
        <v>62</v>
      </c>
      <c r="G555" s="23">
        <v>229</v>
      </c>
    </row>
    <row r="556" spans="1:7" x14ac:dyDescent="0.25">
      <c r="A556" s="23">
        <v>2024</v>
      </c>
      <c r="B556" s="23" t="s">
        <v>191</v>
      </c>
      <c r="C556" s="23" t="s">
        <v>200</v>
      </c>
      <c r="D556" s="23" t="s">
        <v>188</v>
      </c>
      <c r="E556" s="23">
        <v>144</v>
      </c>
      <c r="F556" s="14">
        <v>44</v>
      </c>
      <c r="G556" s="23">
        <v>188</v>
      </c>
    </row>
    <row r="557" spans="1:7" x14ac:dyDescent="0.25">
      <c r="A557" s="23">
        <v>2024</v>
      </c>
      <c r="B557" s="23" t="s">
        <v>191</v>
      </c>
      <c r="C557" s="23" t="s">
        <v>200</v>
      </c>
      <c r="D557" s="23" t="s">
        <v>190</v>
      </c>
      <c r="E557" s="23">
        <v>49</v>
      </c>
      <c r="F557" s="14">
        <v>47</v>
      </c>
      <c r="G557" s="23">
        <v>96</v>
      </c>
    </row>
    <row r="558" spans="1:7" x14ac:dyDescent="0.25">
      <c r="A558" s="23">
        <v>2024</v>
      </c>
      <c r="B558" s="23" t="s">
        <v>191</v>
      </c>
      <c r="C558" s="23" t="s">
        <v>201</v>
      </c>
      <c r="D558" s="23" t="s">
        <v>188</v>
      </c>
      <c r="E558" s="23">
        <v>174</v>
      </c>
      <c r="F558" s="14">
        <v>85</v>
      </c>
      <c r="G558" s="23">
        <v>259</v>
      </c>
    </row>
    <row r="559" spans="1:7" x14ac:dyDescent="0.25">
      <c r="A559" s="23">
        <v>2024</v>
      </c>
      <c r="B559" s="23" t="s">
        <v>191</v>
      </c>
      <c r="C559" s="23" t="s">
        <v>201</v>
      </c>
      <c r="D559" s="23" t="s">
        <v>190</v>
      </c>
      <c r="E559" s="23">
        <v>137</v>
      </c>
      <c r="F559" s="14">
        <v>17</v>
      </c>
      <c r="G559" s="23">
        <v>154</v>
      </c>
    </row>
    <row r="560" spans="1:7" x14ac:dyDescent="0.25">
      <c r="A560" s="23">
        <v>2024</v>
      </c>
      <c r="B560" s="23" t="s">
        <v>191</v>
      </c>
      <c r="C560" s="23" t="s">
        <v>202</v>
      </c>
      <c r="D560" s="23" t="s">
        <v>188</v>
      </c>
      <c r="E560" s="23">
        <v>164</v>
      </c>
      <c r="F560" s="14">
        <v>21</v>
      </c>
      <c r="G560" s="23">
        <v>185</v>
      </c>
    </row>
    <row r="561" spans="1:7" x14ac:dyDescent="0.25">
      <c r="A561" s="23">
        <v>2024</v>
      </c>
      <c r="B561" s="23" t="s">
        <v>191</v>
      </c>
      <c r="C561" s="23" t="s">
        <v>202</v>
      </c>
      <c r="D561" s="23" t="s">
        <v>190</v>
      </c>
      <c r="E561" s="23">
        <v>118</v>
      </c>
      <c r="F561" s="14">
        <v>85</v>
      </c>
      <c r="G561" s="23">
        <v>203</v>
      </c>
    </row>
    <row r="562" spans="1:7" x14ac:dyDescent="0.25">
      <c r="A562" s="23">
        <v>2024</v>
      </c>
      <c r="B562" s="23" t="s">
        <v>193</v>
      </c>
      <c r="C562" s="23" t="s">
        <v>181</v>
      </c>
      <c r="D562" s="23" t="s">
        <v>188</v>
      </c>
      <c r="E562" s="23">
        <v>118</v>
      </c>
      <c r="F562" s="14">
        <v>50</v>
      </c>
      <c r="G562" s="23">
        <v>168</v>
      </c>
    </row>
    <row r="563" spans="1:7" x14ac:dyDescent="0.25">
      <c r="A563" s="23">
        <v>2024</v>
      </c>
      <c r="B563" s="23" t="s">
        <v>193</v>
      </c>
      <c r="C563" s="23" t="s">
        <v>181</v>
      </c>
      <c r="D563" s="23" t="s">
        <v>190</v>
      </c>
      <c r="E563" s="23">
        <v>173</v>
      </c>
      <c r="F563" s="14">
        <v>11</v>
      </c>
      <c r="G563" s="23">
        <v>184</v>
      </c>
    </row>
    <row r="564" spans="1:7" x14ac:dyDescent="0.25">
      <c r="A564" s="23">
        <v>2024</v>
      </c>
      <c r="B564" s="23" t="s">
        <v>193</v>
      </c>
      <c r="C564" s="23" t="s">
        <v>182</v>
      </c>
      <c r="D564" s="23" t="s">
        <v>188</v>
      </c>
      <c r="E564" s="23">
        <v>137</v>
      </c>
      <c r="F564" s="14">
        <v>93</v>
      </c>
      <c r="G564" s="23">
        <v>230</v>
      </c>
    </row>
    <row r="565" spans="1:7" x14ac:dyDescent="0.25">
      <c r="A565" s="23">
        <v>2024</v>
      </c>
      <c r="B565" s="23" t="s">
        <v>193</v>
      </c>
      <c r="C565" s="23" t="s">
        <v>182</v>
      </c>
      <c r="D565" s="23" t="s">
        <v>190</v>
      </c>
      <c r="E565" s="23">
        <v>59</v>
      </c>
      <c r="F565" s="14">
        <v>43</v>
      </c>
      <c r="G565" s="23">
        <v>102</v>
      </c>
    </row>
    <row r="566" spans="1:7" x14ac:dyDescent="0.25">
      <c r="A566" s="23">
        <v>2024</v>
      </c>
      <c r="B566" s="23" t="s">
        <v>193</v>
      </c>
      <c r="C566" s="23" t="s">
        <v>197</v>
      </c>
      <c r="D566" s="23" t="s">
        <v>188</v>
      </c>
      <c r="E566" s="23">
        <v>66</v>
      </c>
      <c r="F566" s="14">
        <v>82</v>
      </c>
      <c r="G566" s="23">
        <v>148</v>
      </c>
    </row>
    <row r="567" spans="1:7" x14ac:dyDescent="0.25">
      <c r="A567" s="23">
        <v>2024</v>
      </c>
      <c r="B567" s="23" t="s">
        <v>193</v>
      </c>
      <c r="C567" s="23" t="s">
        <v>197</v>
      </c>
      <c r="D567" s="23" t="s">
        <v>190</v>
      </c>
      <c r="E567" s="23">
        <v>248</v>
      </c>
      <c r="F567" s="14">
        <v>41</v>
      </c>
      <c r="G567" s="23">
        <v>289</v>
      </c>
    </row>
    <row r="568" spans="1:7" x14ac:dyDescent="0.25">
      <c r="A568" s="23">
        <v>2024</v>
      </c>
      <c r="B568" s="23" t="s">
        <v>193</v>
      </c>
      <c r="C568" s="23" t="s">
        <v>198</v>
      </c>
      <c r="D568" s="23" t="s">
        <v>188</v>
      </c>
      <c r="E568" s="23">
        <v>45</v>
      </c>
      <c r="F568" s="14">
        <v>11</v>
      </c>
      <c r="G568" s="23">
        <v>56</v>
      </c>
    </row>
    <row r="569" spans="1:7" x14ac:dyDescent="0.25">
      <c r="A569" s="23">
        <v>2024</v>
      </c>
      <c r="B569" s="23" t="s">
        <v>193</v>
      </c>
      <c r="C569" s="23" t="s">
        <v>198</v>
      </c>
      <c r="D569" s="23" t="s">
        <v>190</v>
      </c>
      <c r="E569" s="23">
        <v>40</v>
      </c>
      <c r="F569" s="14">
        <v>76</v>
      </c>
      <c r="G569" s="23">
        <v>116</v>
      </c>
    </row>
    <row r="570" spans="1:7" x14ac:dyDescent="0.25">
      <c r="A570" s="23">
        <v>2024</v>
      </c>
      <c r="B570" s="23" t="s">
        <v>193</v>
      </c>
      <c r="C570" s="23" t="s">
        <v>199</v>
      </c>
      <c r="D570" s="23" t="s">
        <v>188</v>
      </c>
      <c r="E570" s="23">
        <v>197</v>
      </c>
      <c r="F570" s="14">
        <v>29</v>
      </c>
      <c r="G570" s="23">
        <v>226</v>
      </c>
    </row>
    <row r="571" spans="1:7" x14ac:dyDescent="0.25">
      <c r="A571" s="23">
        <v>2024</v>
      </c>
      <c r="B571" s="23" t="s">
        <v>193</v>
      </c>
      <c r="C571" s="23" t="s">
        <v>199</v>
      </c>
      <c r="D571" s="23" t="s">
        <v>190</v>
      </c>
      <c r="E571" s="23">
        <v>103</v>
      </c>
      <c r="F571" s="14">
        <v>13</v>
      </c>
      <c r="G571" s="23">
        <v>116</v>
      </c>
    </row>
    <row r="572" spans="1:7" x14ac:dyDescent="0.25">
      <c r="A572" s="23">
        <v>2024</v>
      </c>
      <c r="B572" s="23" t="s">
        <v>193</v>
      </c>
      <c r="C572" s="23" t="s">
        <v>200</v>
      </c>
      <c r="D572" s="23" t="s">
        <v>188</v>
      </c>
      <c r="E572" s="23">
        <v>175</v>
      </c>
      <c r="F572" s="14">
        <v>109</v>
      </c>
      <c r="G572" s="23">
        <v>284</v>
      </c>
    </row>
    <row r="573" spans="1:7" x14ac:dyDescent="0.25">
      <c r="A573" s="23">
        <v>2024</v>
      </c>
      <c r="B573" s="23" t="s">
        <v>193</v>
      </c>
      <c r="C573" s="23" t="s">
        <v>200</v>
      </c>
      <c r="D573" s="23" t="s">
        <v>190</v>
      </c>
      <c r="E573" s="23">
        <v>234</v>
      </c>
      <c r="F573" s="14">
        <v>24</v>
      </c>
      <c r="G573" s="23">
        <v>258</v>
      </c>
    </row>
    <row r="574" spans="1:7" x14ac:dyDescent="0.25">
      <c r="A574" s="23">
        <v>2024</v>
      </c>
      <c r="B574" s="23" t="s">
        <v>193</v>
      </c>
      <c r="C574" s="23" t="s">
        <v>201</v>
      </c>
      <c r="D574" s="23" t="s">
        <v>188</v>
      </c>
      <c r="E574" s="23">
        <v>194</v>
      </c>
      <c r="F574" s="14">
        <v>68</v>
      </c>
      <c r="G574" s="23">
        <v>262</v>
      </c>
    </row>
    <row r="575" spans="1:7" x14ac:dyDescent="0.25">
      <c r="A575" s="23">
        <v>2024</v>
      </c>
      <c r="B575" s="23" t="s">
        <v>193</v>
      </c>
      <c r="C575" s="23" t="s">
        <v>201</v>
      </c>
      <c r="D575" s="23" t="s">
        <v>190</v>
      </c>
      <c r="E575" s="23">
        <v>198</v>
      </c>
      <c r="F575" s="14">
        <v>62</v>
      </c>
      <c r="G575" s="23">
        <v>260</v>
      </c>
    </row>
    <row r="576" spans="1:7" x14ac:dyDescent="0.25">
      <c r="A576" s="23">
        <v>2024</v>
      </c>
      <c r="B576" s="23" t="s">
        <v>193</v>
      </c>
      <c r="C576" s="23" t="s">
        <v>202</v>
      </c>
      <c r="D576" s="23" t="s">
        <v>188</v>
      </c>
      <c r="E576" s="23">
        <v>53</v>
      </c>
      <c r="F576" s="14">
        <v>103</v>
      </c>
      <c r="G576" s="23">
        <v>156</v>
      </c>
    </row>
    <row r="577" spans="1:7" x14ac:dyDescent="0.25">
      <c r="A577" s="23">
        <v>2024</v>
      </c>
      <c r="B577" s="23" t="s">
        <v>193</v>
      </c>
      <c r="C577" s="23" t="s">
        <v>202</v>
      </c>
      <c r="D577" s="23" t="s">
        <v>190</v>
      </c>
      <c r="E577" s="23">
        <v>171</v>
      </c>
      <c r="F577" s="14">
        <v>21</v>
      </c>
      <c r="G577" s="23">
        <v>192</v>
      </c>
    </row>
    <row r="578" spans="1:7" x14ac:dyDescent="0.25">
      <c r="A578" s="23">
        <v>2024</v>
      </c>
      <c r="B578" s="23" t="s">
        <v>192</v>
      </c>
      <c r="C578" s="23" t="s">
        <v>181</v>
      </c>
      <c r="D578" s="23" t="s">
        <v>188</v>
      </c>
      <c r="E578" s="23">
        <v>111</v>
      </c>
      <c r="F578" s="14">
        <v>88</v>
      </c>
      <c r="G578" s="23">
        <v>199</v>
      </c>
    </row>
    <row r="579" spans="1:7" x14ac:dyDescent="0.25">
      <c r="A579" s="23">
        <v>2024</v>
      </c>
      <c r="B579" s="23" t="s">
        <v>192</v>
      </c>
      <c r="C579" s="23" t="s">
        <v>181</v>
      </c>
      <c r="D579" s="23" t="s">
        <v>190</v>
      </c>
      <c r="E579" s="23">
        <v>147</v>
      </c>
      <c r="F579" s="14">
        <v>41</v>
      </c>
      <c r="G579" s="23">
        <v>188</v>
      </c>
    </row>
    <row r="580" spans="1:7" x14ac:dyDescent="0.25">
      <c r="A580" s="23">
        <v>2024</v>
      </c>
      <c r="B580" s="23" t="s">
        <v>192</v>
      </c>
      <c r="C580" s="23" t="s">
        <v>182</v>
      </c>
      <c r="D580" s="23" t="s">
        <v>188</v>
      </c>
      <c r="E580" s="23">
        <v>129</v>
      </c>
      <c r="F580" s="14">
        <v>66</v>
      </c>
      <c r="G580" s="23">
        <v>195</v>
      </c>
    </row>
    <row r="581" spans="1:7" x14ac:dyDescent="0.25">
      <c r="A581" s="23">
        <v>2024</v>
      </c>
      <c r="B581" s="23" t="s">
        <v>192</v>
      </c>
      <c r="C581" s="23" t="s">
        <v>182</v>
      </c>
      <c r="D581" s="23" t="s">
        <v>190</v>
      </c>
      <c r="E581" s="23">
        <v>234</v>
      </c>
      <c r="F581" s="14">
        <v>28</v>
      </c>
      <c r="G581" s="23">
        <v>262</v>
      </c>
    </row>
    <row r="582" spans="1:7" x14ac:dyDescent="0.25">
      <c r="A582" s="23">
        <v>2024</v>
      </c>
      <c r="B582" s="23" t="s">
        <v>192</v>
      </c>
      <c r="C582" s="23" t="s">
        <v>197</v>
      </c>
      <c r="D582" s="23" t="s">
        <v>188</v>
      </c>
      <c r="E582" s="23">
        <v>231</v>
      </c>
      <c r="F582" s="14">
        <v>105</v>
      </c>
      <c r="G582" s="23">
        <v>336</v>
      </c>
    </row>
    <row r="583" spans="1:7" x14ac:dyDescent="0.25">
      <c r="A583" s="23">
        <v>2024</v>
      </c>
      <c r="B583" s="23" t="s">
        <v>192</v>
      </c>
      <c r="C583" s="23" t="s">
        <v>197</v>
      </c>
      <c r="D583" s="23" t="s">
        <v>190</v>
      </c>
      <c r="E583" s="23">
        <v>186</v>
      </c>
      <c r="F583" s="14">
        <v>98</v>
      </c>
      <c r="G583" s="23">
        <v>284</v>
      </c>
    </row>
    <row r="584" spans="1:7" x14ac:dyDescent="0.25">
      <c r="A584" s="23">
        <v>2024</v>
      </c>
      <c r="B584" s="23" t="s">
        <v>192</v>
      </c>
      <c r="C584" s="23" t="s">
        <v>198</v>
      </c>
      <c r="D584" s="23" t="s">
        <v>188</v>
      </c>
      <c r="E584" s="23">
        <v>136</v>
      </c>
      <c r="F584" s="14">
        <v>97</v>
      </c>
      <c r="G584" s="23">
        <v>233</v>
      </c>
    </row>
    <row r="585" spans="1:7" x14ac:dyDescent="0.25">
      <c r="A585" s="23">
        <v>2024</v>
      </c>
      <c r="B585" s="23" t="s">
        <v>192</v>
      </c>
      <c r="C585" s="23" t="s">
        <v>198</v>
      </c>
      <c r="D585" s="23" t="s">
        <v>190</v>
      </c>
      <c r="E585" s="23">
        <v>166</v>
      </c>
      <c r="F585" s="14">
        <v>15</v>
      </c>
      <c r="G585" s="23">
        <v>181</v>
      </c>
    </row>
    <row r="586" spans="1:7" x14ac:dyDescent="0.25">
      <c r="A586" s="23">
        <v>2024</v>
      </c>
      <c r="B586" s="23" t="s">
        <v>192</v>
      </c>
      <c r="C586" s="23" t="s">
        <v>199</v>
      </c>
      <c r="D586" s="23" t="s">
        <v>188</v>
      </c>
      <c r="E586" s="23">
        <v>96</v>
      </c>
      <c r="F586" s="14">
        <v>100</v>
      </c>
      <c r="G586" s="23">
        <v>196</v>
      </c>
    </row>
    <row r="587" spans="1:7" x14ac:dyDescent="0.25">
      <c r="A587" s="23">
        <v>2024</v>
      </c>
      <c r="B587" s="23" t="s">
        <v>192</v>
      </c>
      <c r="C587" s="23" t="s">
        <v>199</v>
      </c>
      <c r="D587" s="23" t="s">
        <v>190</v>
      </c>
      <c r="E587" s="23">
        <v>183</v>
      </c>
      <c r="F587" s="14">
        <v>16</v>
      </c>
      <c r="G587" s="23">
        <v>199</v>
      </c>
    </row>
    <row r="588" spans="1:7" x14ac:dyDescent="0.25">
      <c r="A588" s="23">
        <v>2024</v>
      </c>
      <c r="B588" s="23" t="s">
        <v>192</v>
      </c>
      <c r="C588" s="23" t="s">
        <v>200</v>
      </c>
      <c r="D588" s="23" t="s">
        <v>188</v>
      </c>
      <c r="E588" s="23">
        <v>74</v>
      </c>
      <c r="F588" s="14">
        <v>20</v>
      </c>
      <c r="G588" s="23">
        <v>94</v>
      </c>
    </row>
    <row r="589" spans="1:7" x14ac:dyDescent="0.25">
      <c r="A589" s="23">
        <v>2024</v>
      </c>
      <c r="B589" s="23" t="s">
        <v>192</v>
      </c>
      <c r="C589" s="23" t="s">
        <v>200</v>
      </c>
      <c r="D589" s="23" t="s">
        <v>190</v>
      </c>
      <c r="E589" s="23">
        <v>247</v>
      </c>
      <c r="F589" s="14">
        <v>92</v>
      </c>
      <c r="G589" s="23">
        <v>339</v>
      </c>
    </row>
    <row r="590" spans="1:7" x14ac:dyDescent="0.25">
      <c r="A590" s="23">
        <v>2024</v>
      </c>
      <c r="B590" s="23" t="s">
        <v>192</v>
      </c>
      <c r="C590" s="23" t="s">
        <v>201</v>
      </c>
      <c r="D590" s="23" t="s">
        <v>188</v>
      </c>
      <c r="E590" s="23">
        <v>258</v>
      </c>
      <c r="F590" s="14">
        <v>20</v>
      </c>
      <c r="G590" s="23">
        <v>278</v>
      </c>
    </row>
    <row r="591" spans="1:7" x14ac:dyDescent="0.25">
      <c r="A591" s="23">
        <v>2024</v>
      </c>
      <c r="B591" s="23" t="s">
        <v>192</v>
      </c>
      <c r="C591" s="23" t="s">
        <v>201</v>
      </c>
      <c r="D591" s="23" t="s">
        <v>190</v>
      </c>
      <c r="E591" s="23">
        <v>210</v>
      </c>
      <c r="F591" s="14">
        <v>74</v>
      </c>
      <c r="G591" s="23">
        <v>284</v>
      </c>
    </row>
    <row r="592" spans="1:7" x14ac:dyDescent="0.25">
      <c r="A592" s="23">
        <v>2024</v>
      </c>
      <c r="B592" s="23" t="s">
        <v>192</v>
      </c>
      <c r="C592" s="23" t="s">
        <v>202</v>
      </c>
      <c r="D592" s="23" t="s">
        <v>188</v>
      </c>
      <c r="E592" s="23">
        <v>108</v>
      </c>
      <c r="F592" s="14">
        <v>53</v>
      </c>
      <c r="G592" s="23">
        <v>161</v>
      </c>
    </row>
    <row r="593" spans="1:7" x14ac:dyDescent="0.25">
      <c r="A593" s="23">
        <v>2024</v>
      </c>
      <c r="B593" s="23" t="s">
        <v>192</v>
      </c>
      <c r="C593" s="23" t="s">
        <v>202</v>
      </c>
      <c r="D593" s="23" t="s">
        <v>190</v>
      </c>
      <c r="E593" s="23">
        <v>190</v>
      </c>
      <c r="F593" s="14">
        <v>31</v>
      </c>
      <c r="G593" s="23">
        <v>221</v>
      </c>
    </row>
    <row r="594" spans="1:7" x14ac:dyDescent="0.25">
      <c r="A594" s="23">
        <v>2024</v>
      </c>
      <c r="B594" s="23" t="s">
        <v>196</v>
      </c>
      <c r="C594" s="23" t="s">
        <v>181</v>
      </c>
      <c r="D594" s="23" t="s">
        <v>188</v>
      </c>
      <c r="E594" s="23">
        <v>179</v>
      </c>
      <c r="F594" s="14">
        <v>14</v>
      </c>
      <c r="G594" s="23">
        <v>193</v>
      </c>
    </row>
    <row r="595" spans="1:7" x14ac:dyDescent="0.25">
      <c r="A595" s="23">
        <v>2024</v>
      </c>
      <c r="B595" s="23" t="s">
        <v>196</v>
      </c>
      <c r="C595" s="23" t="s">
        <v>181</v>
      </c>
      <c r="D595" s="23" t="s">
        <v>190</v>
      </c>
      <c r="E595" s="23">
        <v>128</v>
      </c>
      <c r="F595" s="14">
        <v>59</v>
      </c>
      <c r="G595" s="23">
        <v>187</v>
      </c>
    </row>
    <row r="596" spans="1:7" x14ac:dyDescent="0.25">
      <c r="A596" s="23">
        <v>2024</v>
      </c>
      <c r="B596" s="23" t="s">
        <v>196</v>
      </c>
      <c r="C596" s="23" t="s">
        <v>182</v>
      </c>
      <c r="D596" s="23" t="s">
        <v>188</v>
      </c>
      <c r="E596" s="23">
        <v>70</v>
      </c>
      <c r="F596" s="14">
        <v>40</v>
      </c>
      <c r="G596" s="23">
        <v>110</v>
      </c>
    </row>
    <row r="597" spans="1:7" x14ac:dyDescent="0.25">
      <c r="A597" s="23">
        <v>2024</v>
      </c>
      <c r="B597" s="23" t="s">
        <v>196</v>
      </c>
      <c r="C597" s="23" t="s">
        <v>182</v>
      </c>
      <c r="D597" s="23" t="s">
        <v>190</v>
      </c>
      <c r="E597" s="23">
        <v>50</v>
      </c>
      <c r="F597" s="14">
        <v>91</v>
      </c>
      <c r="G597" s="23">
        <v>141</v>
      </c>
    </row>
    <row r="598" spans="1:7" x14ac:dyDescent="0.25">
      <c r="A598" s="23">
        <v>2024</v>
      </c>
      <c r="B598" s="23" t="s">
        <v>196</v>
      </c>
      <c r="C598" s="23" t="s">
        <v>197</v>
      </c>
      <c r="D598" s="23" t="s">
        <v>188</v>
      </c>
      <c r="E598" s="23">
        <v>56</v>
      </c>
      <c r="F598" s="14">
        <v>20</v>
      </c>
      <c r="G598" s="23">
        <v>76</v>
      </c>
    </row>
    <row r="599" spans="1:7" x14ac:dyDescent="0.25">
      <c r="A599" s="23">
        <v>2024</v>
      </c>
      <c r="B599" s="23" t="s">
        <v>196</v>
      </c>
      <c r="C599" s="23" t="s">
        <v>197</v>
      </c>
      <c r="D599" s="23" t="s">
        <v>190</v>
      </c>
      <c r="E599" s="23">
        <v>115</v>
      </c>
      <c r="F599" s="14">
        <v>12</v>
      </c>
      <c r="G599" s="23">
        <v>127</v>
      </c>
    </row>
    <row r="600" spans="1:7" x14ac:dyDescent="0.25">
      <c r="A600" s="23">
        <v>2024</v>
      </c>
      <c r="B600" s="23" t="s">
        <v>196</v>
      </c>
      <c r="C600" s="23" t="s">
        <v>198</v>
      </c>
      <c r="D600" s="23" t="s">
        <v>188</v>
      </c>
      <c r="E600" s="23">
        <v>140</v>
      </c>
      <c r="F600" s="14">
        <v>96</v>
      </c>
      <c r="G600" s="23">
        <v>236</v>
      </c>
    </row>
    <row r="601" spans="1:7" x14ac:dyDescent="0.25">
      <c r="A601" s="23">
        <v>2024</v>
      </c>
      <c r="B601" s="23" t="s">
        <v>196</v>
      </c>
      <c r="C601" s="23" t="s">
        <v>198</v>
      </c>
      <c r="D601" s="23" t="s">
        <v>190</v>
      </c>
      <c r="E601" s="23">
        <v>57</v>
      </c>
      <c r="F601" s="14">
        <v>88</v>
      </c>
      <c r="G601" s="23">
        <v>145</v>
      </c>
    </row>
    <row r="602" spans="1:7" x14ac:dyDescent="0.25">
      <c r="A602" s="23">
        <v>2024</v>
      </c>
      <c r="B602" s="23" t="s">
        <v>196</v>
      </c>
      <c r="C602" s="23" t="s">
        <v>199</v>
      </c>
      <c r="D602" s="23" t="s">
        <v>188</v>
      </c>
      <c r="E602" s="23">
        <v>166</v>
      </c>
      <c r="F602" s="14">
        <v>102</v>
      </c>
      <c r="G602" s="23">
        <v>268</v>
      </c>
    </row>
    <row r="603" spans="1:7" x14ac:dyDescent="0.25">
      <c r="A603" s="23">
        <v>2024</v>
      </c>
      <c r="B603" s="23" t="s">
        <v>196</v>
      </c>
      <c r="C603" s="23" t="s">
        <v>199</v>
      </c>
      <c r="D603" s="23" t="s">
        <v>190</v>
      </c>
      <c r="E603" s="23">
        <v>156</v>
      </c>
      <c r="F603" s="14">
        <v>40</v>
      </c>
      <c r="G603" s="23">
        <v>196</v>
      </c>
    </row>
    <row r="604" spans="1:7" x14ac:dyDescent="0.25">
      <c r="A604" s="23">
        <v>2024</v>
      </c>
      <c r="B604" s="23" t="s">
        <v>196</v>
      </c>
      <c r="C604" s="23" t="s">
        <v>200</v>
      </c>
      <c r="D604" s="23" t="s">
        <v>188</v>
      </c>
      <c r="E604" s="23">
        <v>180</v>
      </c>
      <c r="F604" s="14">
        <v>61</v>
      </c>
      <c r="G604" s="23">
        <v>241</v>
      </c>
    </row>
    <row r="605" spans="1:7" x14ac:dyDescent="0.25">
      <c r="A605" s="23">
        <v>2024</v>
      </c>
      <c r="B605" s="23" t="s">
        <v>196</v>
      </c>
      <c r="C605" s="23" t="s">
        <v>200</v>
      </c>
      <c r="D605" s="23" t="s">
        <v>190</v>
      </c>
      <c r="E605" s="23">
        <v>185</v>
      </c>
      <c r="F605" s="14">
        <v>104</v>
      </c>
      <c r="G605" s="23">
        <v>289</v>
      </c>
    </row>
    <row r="606" spans="1:7" x14ac:dyDescent="0.25">
      <c r="A606" s="23">
        <v>2024</v>
      </c>
      <c r="B606" s="23" t="s">
        <v>196</v>
      </c>
      <c r="C606" s="23" t="s">
        <v>201</v>
      </c>
      <c r="D606" s="23" t="s">
        <v>188</v>
      </c>
      <c r="E606" s="23">
        <v>43</v>
      </c>
      <c r="F606" s="14">
        <v>106</v>
      </c>
      <c r="G606" s="23">
        <v>149</v>
      </c>
    </row>
    <row r="607" spans="1:7" x14ac:dyDescent="0.25">
      <c r="A607" s="23">
        <v>2024</v>
      </c>
      <c r="B607" s="23" t="s">
        <v>196</v>
      </c>
      <c r="C607" s="23" t="s">
        <v>201</v>
      </c>
      <c r="D607" s="23" t="s">
        <v>190</v>
      </c>
      <c r="E607" s="23">
        <v>181</v>
      </c>
      <c r="F607" s="14">
        <v>55</v>
      </c>
      <c r="G607" s="23">
        <v>236</v>
      </c>
    </row>
    <row r="608" spans="1:7" x14ac:dyDescent="0.25">
      <c r="A608" s="23">
        <v>2024</v>
      </c>
      <c r="B608" s="23" t="s">
        <v>196</v>
      </c>
      <c r="C608" s="23" t="s">
        <v>202</v>
      </c>
      <c r="D608" s="23" t="s">
        <v>188</v>
      </c>
      <c r="E608" s="23">
        <v>182</v>
      </c>
      <c r="F608" s="14">
        <v>88</v>
      </c>
      <c r="G608" s="23">
        <v>270</v>
      </c>
    </row>
    <row r="609" spans="1:7" x14ac:dyDescent="0.25">
      <c r="A609" s="23">
        <v>2024</v>
      </c>
      <c r="B609" s="23" t="s">
        <v>196</v>
      </c>
      <c r="C609" s="23" t="s">
        <v>202</v>
      </c>
      <c r="D609" s="23" t="s">
        <v>190</v>
      </c>
      <c r="E609" s="23">
        <v>183</v>
      </c>
      <c r="F609" s="14">
        <v>34</v>
      </c>
      <c r="G609" s="23">
        <v>217</v>
      </c>
    </row>
    <row r="610" spans="1:7" x14ac:dyDescent="0.25">
      <c r="A610" s="23">
        <v>2024</v>
      </c>
      <c r="B610" s="23" t="s">
        <v>194</v>
      </c>
      <c r="C610" s="23" t="s">
        <v>181</v>
      </c>
      <c r="D610" s="23" t="s">
        <v>188</v>
      </c>
      <c r="E610" s="23">
        <v>163</v>
      </c>
      <c r="F610" s="14">
        <v>69</v>
      </c>
      <c r="G610" s="23">
        <v>232</v>
      </c>
    </row>
    <row r="611" spans="1:7" x14ac:dyDescent="0.25">
      <c r="A611" s="23">
        <v>2024</v>
      </c>
      <c r="B611" s="23" t="s">
        <v>194</v>
      </c>
      <c r="C611" s="23" t="s">
        <v>181</v>
      </c>
      <c r="D611" s="23" t="s">
        <v>190</v>
      </c>
      <c r="E611" s="23">
        <v>207</v>
      </c>
      <c r="F611" s="14">
        <v>33</v>
      </c>
      <c r="G611" s="23">
        <v>240</v>
      </c>
    </row>
    <row r="612" spans="1:7" x14ac:dyDescent="0.25">
      <c r="A612" s="23">
        <v>2024</v>
      </c>
      <c r="B612" s="23" t="s">
        <v>194</v>
      </c>
      <c r="C612" s="23" t="s">
        <v>182</v>
      </c>
      <c r="D612" s="23" t="s">
        <v>188</v>
      </c>
      <c r="E612" s="23">
        <v>179</v>
      </c>
      <c r="F612" s="14">
        <v>110</v>
      </c>
      <c r="G612" s="23">
        <v>289</v>
      </c>
    </row>
    <row r="613" spans="1:7" x14ac:dyDescent="0.25">
      <c r="A613" s="23">
        <v>2024</v>
      </c>
      <c r="B613" s="23" t="s">
        <v>194</v>
      </c>
      <c r="C613" s="23" t="s">
        <v>182</v>
      </c>
      <c r="D613" s="23" t="s">
        <v>190</v>
      </c>
      <c r="E613" s="23">
        <v>179</v>
      </c>
      <c r="F613" s="14">
        <v>88</v>
      </c>
      <c r="G613" s="23">
        <v>267</v>
      </c>
    </row>
    <row r="614" spans="1:7" x14ac:dyDescent="0.25">
      <c r="A614" s="23">
        <v>2024</v>
      </c>
      <c r="B614" s="23" t="s">
        <v>194</v>
      </c>
      <c r="C614" s="23" t="s">
        <v>197</v>
      </c>
      <c r="D614" s="23" t="s">
        <v>188</v>
      </c>
      <c r="E614" s="23">
        <v>45</v>
      </c>
      <c r="F614" s="14">
        <v>78</v>
      </c>
      <c r="G614" s="23">
        <v>123</v>
      </c>
    </row>
    <row r="615" spans="1:7" x14ac:dyDescent="0.25">
      <c r="A615" s="23">
        <v>2024</v>
      </c>
      <c r="B615" s="23" t="s">
        <v>194</v>
      </c>
      <c r="C615" s="23" t="s">
        <v>197</v>
      </c>
      <c r="D615" s="23" t="s">
        <v>190</v>
      </c>
      <c r="E615" s="23">
        <v>125</v>
      </c>
      <c r="F615" s="14">
        <v>28</v>
      </c>
      <c r="G615" s="23">
        <v>153</v>
      </c>
    </row>
    <row r="616" spans="1:7" x14ac:dyDescent="0.25">
      <c r="A616" s="23">
        <v>2024</v>
      </c>
      <c r="B616" s="23" t="s">
        <v>194</v>
      </c>
      <c r="C616" s="23" t="s">
        <v>198</v>
      </c>
      <c r="D616" s="23" t="s">
        <v>188</v>
      </c>
      <c r="E616" s="23">
        <v>99</v>
      </c>
      <c r="F616" s="14">
        <v>54</v>
      </c>
      <c r="G616" s="23">
        <v>153</v>
      </c>
    </row>
    <row r="617" spans="1:7" x14ac:dyDescent="0.25">
      <c r="A617" s="23">
        <v>2024</v>
      </c>
      <c r="B617" s="23" t="s">
        <v>194</v>
      </c>
      <c r="C617" s="23" t="s">
        <v>198</v>
      </c>
      <c r="D617" s="23" t="s">
        <v>190</v>
      </c>
      <c r="E617" s="23">
        <v>83</v>
      </c>
      <c r="F617" s="14">
        <v>81</v>
      </c>
      <c r="G617" s="23">
        <v>164</v>
      </c>
    </row>
    <row r="618" spans="1:7" x14ac:dyDescent="0.25">
      <c r="A618" s="23">
        <v>2024</v>
      </c>
      <c r="B618" s="23" t="s">
        <v>194</v>
      </c>
      <c r="C618" s="23" t="s">
        <v>199</v>
      </c>
      <c r="D618" s="23" t="s">
        <v>188</v>
      </c>
      <c r="E618" s="23">
        <v>93</v>
      </c>
      <c r="F618" s="14">
        <v>13</v>
      </c>
      <c r="G618" s="23">
        <v>106</v>
      </c>
    </row>
    <row r="619" spans="1:7" x14ac:dyDescent="0.25">
      <c r="A619" s="23">
        <v>2024</v>
      </c>
      <c r="B619" s="23" t="s">
        <v>194</v>
      </c>
      <c r="C619" s="23" t="s">
        <v>199</v>
      </c>
      <c r="D619" s="23" t="s">
        <v>190</v>
      </c>
      <c r="E619" s="23">
        <v>117</v>
      </c>
      <c r="F619" s="14">
        <v>100</v>
      </c>
      <c r="G619" s="23">
        <v>217</v>
      </c>
    </row>
    <row r="620" spans="1:7" x14ac:dyDescent="0.25">
      <c r="A620" s="23">
        <v>2024</v>
      </c>
      <c r="B620" s="23" t="s">
        <v>194</v>
      </c>
      <c r="C620" s="23" t="s">
        <v>200</v>
      </c>
      <c r="D620" s="23" t="s">
        <v>188</v>
      </c>
      <c r="E620" s="23">
        <v>126</v>
      </c>
      <c r="F620" s="14">
        <v>108</v>
      </c>
      <c r="G620" s="23">
        <v>234</v>
      </c>
    </row>
    <row r="621" spans="1:7" x14ac:dyDescent="0.25">
      <c r="A621" s="23">
        <v>2024</v>
      </c>
      <c r="B621" s="23" t="s">
        <v>194</v>
      </c>
      <c r="C621" s="23" t="s">
        <v>200</v>
      </c>
      <c r="D621" s="23" t="s">
        <v>190</v>
      </c>
      <c r="E621" s="23">
        <v>126</v>
      </c>
      <c r="F621" s="14">
        <v>80</v>
      </c>
      <c r="G621" s="23">
        <v>206</v>
      </c>
    </row>
    <row r="622" spans="1:7" x14ac:dyDescent="0.25">
      <c r="A622" s="23">
        <v>2024</v>
      </c>
      <c r="B622" s="23" t="s">
        <v>194</v>
      </c>
      <c r="C622" s="23" t="s">
        <v>201</v>
      </c>
      <c r="D622" s="23" t="s">
        <v>188</v>
      </c>
      <c r="E622" s="23">
        <v>198</v>
      </c>
      <c r="F622" s="14">
        <v>43</v>
      </c>
      <c r="G622" s="23">
        <v>241</v>
      </c>
    </row>
    <row r="623" spans="1:7" x14ac:dyDescent="0.25">
      <c r="A623" s="23">
        <v>2024</v>
      </c>
      <c r="B623" s="23" t="s">
        <v>194</v>
      </c>
      <c r="C623" s="23" t="s">
        <v>201</v>
      </c>
      <c r="D623" s="23" t="s">
        <v>190</v>
      </c>
      <c r="E623" s="23">
        <v>208</v>
      </c>
      <c r="F623" s="14">
        <v>59</v>
      </c>
      <c r="G623" s="23">
        <v>267</v>
      </c>
    </row>
    <row r="624" spans="1:7" x14ac:dyDescent="0.25">
      <c r="A624" s="23">
        <v>2024</v>
      </c>
      <c r="B624" s="23" t="s">
        <v>194</v>
      </c>
      <c r="C624" s="23" t="s">
        <v>202</v>
      </c>
      <c r="D624" s="23" t="s">
        <v>188</v>
      </c>
      <c r="E624" s="23">
        <v>93</v>
      </c>
      <c r="F624" s="14">
        <v>58</v>
      </c>
      <c r="G624" s="23">
        <v>151</v>
      </c>
    </row>
    <row r="625" spans="1:7" x14ac:dyDescent="0.25">
      <c r="A625" s="23">
        <v>2024</v>
      </c>
      <c r="B625" s="23" t="s">
        <v>194</v>
      </c>
      <c r="C625" s="23" t="s">
        <v>202</v>
      </c>
      <c r="D625" s="23" t="s">
        <v>190</v>
      </c>
      <c r="E625" s="23">
        <v>69</v>
      </c>
      <c r="F625" s="14">
        <v>106</v>
      </c>
      <c r="G625" s="23">
        <v>175</v>
      </c>
    </row>
    <row r="626" spans="1:7" x14ac:dyDescent="0.25">
      <c r="A626" s="23">
        <v>2024</v>
      </c>
      <c r="B626" s="23" t="s">
        <v>195</v>
      </c>
      <c r="C626" s="23" t="s">
        <v>181</v>
      </c>
      <c r="D626" s="23" t="s">
        <v>188</v>
      </c>
      <c r="E626" s="23">
        <v>213</v>
      </c>
      <c r="F626" s="14">
        <v>37</v>
      </c>
      <c r="G626" s="23">
        <v>250</v>
      </c>
    </row>
    <row r="627" spans="1:7" x14ac:dyDescent="0.25">
      <c r="A627" s="23">
        <v>2024</v>
      </c>
      <c r="B627" s="23" t="s">
        <v>195</v>
      </c>
      <c r="C627" s="23" t="s">
        <v>181</v>
      </c>
      <c r="D627" s="23" t="s">
        <v>190</v>
      </c>
      <c r="E627" s="23">
        <v>86</v>
      </c>
      <c r="F627" s="14">
        <v>74</v>
      </c>
      <c r="G627" s="23">
        <v>160</v>
      </c>
    </row>
    <row r="628" spans="1:7" x14ac:dyDescent="0.25">
      <c r="A628" s="23">
        <v>2024</v>
      </c>
      <c r="B628" s="23" t="s">
        <v>195</v>
      </c>
      <c r="C628" s="23" t="s">
        <v>182</v>
      </c>
      <c r="D628" s="23" t="s">
        <v>188</v>
      </c>
      <c r="E628" s="23">
        <v>113</v>
      </c>
      <c r="F628" s="14">
        <v>105</v>
      </c>
      <c r="G628" s="23">
        <v>218</v>
      </c>
    </row>
    <row r="629" spans="1:7" x14ac:dyDescent="0.25">
      <c r="A629" s="23">
        <v>2024</v>
      </c>
      <c r="B629" s="23" t="s">
        <v>195</v>
      </c>
      <c r="C629" s="23" t="s">
        <v>182</v>
      </c>
      <c r="D629" s="23" t="s">
        <v>190</v>
      </c>
      <c r="E629" s="23">
        <v>144</v>
      </c>
      <c r="F629" s="14">
        <v>99</v>
      </c>
      <c r="G629" s="23">
        <v>243</v>
      </c>
    </row>
    <row r="630" spans="1:7" x14ac:dyDescent="0.25">
      <c r="A630" s="23">
        <v>2024</v>
      </c>
      <c r="B630" s="23" t="s">
        <v>195</v>
      </c>
      <c r="C630" s="23" t="s">
        <v>197</v>
      </c>
      <c r="D630" s="23" t="s">
        <v>188</v>
      </c>
      <c r="E630" s="23">
        <v>89</v>
      </c>
      <c r="F630" s="14">
        <v>94</v>
      </c>
      <c r="G630" s="23">
        <v>183</v>
      </c>
    </row>
    <row r="631" spans="1:7" x14ac:dyDescent="0.25">
      <c r="A631" s="23">
        <v>2024</v>
      </c>
      <c r="B631" s="23" t="s">
        <v>195</v>
      </c>
      <c r="C631" s="23" t="s">
        <v>197</v>
      </c>
      <c r="D631" s="23" t="s">
        <v>190</v>
      </c>
      <c r="E631" s="23">
        <v>122</v>
      </c>
      <c r="F631" s="14">
        <v>76</v>
      </c>
      <c r="G631" s="23">
        <v>198</v>
      </c>
    </row>
    <row r="632" spans="1:7" x14ac:dyDescent="0.25">
      <c r="A632" s="23">
        <v>2024</v>
      </c>
      <c r="B632" s="23" t="s">
        <v>195</v>
      </c>
      <c r="C632" s="23" t="s">
        <v>198</v>
      </c>
      <c r="D632" s="23" t="s">
        <v>188</v>
      </c>
      <c r="E632" s="23">
        <v>184</v>
      </c>
      <c r="F632" s="14">
        <v>18</v>
      </c>
      <c r="G632" s="23">
        <v>202</v>
      </c>
    </row>
    <row r="633" spans="1:7" x14ac:dyDescent="0.25">
      <c r="A633" s="23">
        <v>2024</v>
      </c>
      <c r="B633" s="23" t="s">
        <v>195</v>
      </c>
      <c r="C633" s="23" t="s">
        <v>198</v>
      </c>
      <c r="D633" s="23" t="s">
        <v>190</v>
      </c>
      <c r="E633" s="23">
        <v>151</v>
      </c>
      <c r="F633" s="14">
        <v>32</v>
      </c>
      <c r="G633" s="23">
        <v>183</v>
      </c>
    </row>
    <row r="634" spans="1:7" x14ac:dyDescent="0.25">
      <c r="A634" s="23">
        <v>2024</v>
      </c>
      <c r="B634" s="23" t="s">
        <v>195</v>
      </c>
      <c r="C634" s="23" t="s">
        <v>199</v>
      </c>
      <c r="D634" s="23" t="s">
        <v>188</v>
      </c>
      <c r="E634" s="23">
        <v>125</v>
      </c>
      <c r="F634" s="14">
        <v>63</v>
      </c>
      <c r="G634" s="23">
        <v>188</v>
      </c>
    </row>
    <row r="635" spans="1:7" x14ac:dyDescent="0.25">
      <c r="A635" s="23">
        <v>2024</v>
      </c>
      <c r="B635" s="23" t="s">
        <v>195</v>
      </c>
      <c r="C635" s="23" t="s">
        <v>199</v>
      </c>
      <c r="D635" s="23" t="s">
        <v>190</v>
      </c>
      <c r="E635" s="23">
        <v>75</v>
      </c>
      <c r="F635" s="14">
        <v>106</v>
      </c>
      <c r="G635" s="23">
        <v>181</v>
      </c>
    </row>
    <row r="636" spans="1:7" x14ac:dyDescent="0.25">
      <c r="A636" s="23">
        <v>2024</v>
      </c>
      <c r="B636" s="23" t="s">
        <v>195</v>
      </c>
      <c r="C636" s="23" t="s">
        <v>200</v>
      </c>
      <c r="D636" s="23" t="s">
        <v>188</v>
      </c>
      <c r="E636" s="23">
        <v>248</v>
      </c>
      <c r="F636" s="14">
        <v>101</v>
      </c>
      <c r="G636" s="23">
        <v>349</v>
      </c>
    </row>
    <row r="637" spans="1:7" x14ac:dyDescent="0.25">
      <c r="A637" s="23">
        <v>2024</v>
      </c>
      <c r="B637" s="23" t="s">
        <v>195</v>
      </c>
      <c r="C637" s="23" t="s">
        <v>200</v>
      </c>
      <c r="D637" s="23" t="s">
        <v>190</v>
      </c>
      <c r="E637" s="23">
        <v>86</v>
      </c>
      <c r="F637" s="14">
        <v>34</v>
      </c>
      <c r="G637" s="23">
        <v>120</v>
      </c>
    </row>
    <row r="638" spans="1:7" x14ac:dyDescent="0.25">
      <c r="A638" s="23">
        <v>2024</v>
      </c>
      <c r="B638" s="23" t="s">
        <v>195</v>
      </c>
      <c r="C638" s="23" t="s">
        <v>201</v>
      </c>
      <c r="D638" s="23" t="s">
        <v>188</v>
      </c>
      <c r="E638" s="23">
        <v>93</v>
      </c>
      <c r="F638" s="14">
        <v>20</v>
      </c>
      <c r="G638" s="23">
        <v>113</v>
      </c>
    </row>
    <row r="639" spans="1:7" x14ac:dyDescent="0.25">
      <c r="A639" s="23">
        <v>2024</v>
      </c>
      <c r="B639" s="23" t="s">
        <v>195</v>
      </c>
      <c r="C639" s="23" t="s">
        <v>201</v>
      </c>
      <c r="D639" s="23" t="s">
        <v>190</v>
      </c>
      <c r="E639" s="23">
        <v>139</v>
      </c>
      <c r="F639" s="14">
        <v>48</v>
      </c>
      <c r="G639" s="23">
        <v>187</v>
      </c>
    </row>
    <row r="640" spans="1:7" x14ac:dyDescent="0.25">
      <c r="A640" s="23">
        <v>2024</v>
      </c>
      <c r="B640" s="23" t="s">
        <v>195</v>
      </c>
      <c r="C640" s="23" t="s">
        <v>202</v>
      </c>
      <c r="D640" s="23" t="s">
        <v>188</v>
      </c>
      <c r="E640" s="23">
        <v>181</v>
      </c>
      <c r="F640" s="14">
        <v>14</v>
      </c>
      <c r="G640" s="23">
        <v>195</v>
      </c>
    </row>
    <row r="641" spans="1:7" x14ac:dyDescent="0.25">
      <c r="A641" s="23">
        <v>2024</v>
      </c>
      <c r="B641" s="23" t="s">
        <v>195</v>
      </c>
      <c r="C641" s="23" t="s">
        <v>202</v>
      </c>
      <c r="D641" s="23" t="s">
        <v>190</v>
      </c>
      <c r="E641" s="23">
        <v>119</v>
      </c>
      <c r="F641" s="14">
        <v>30</v>
      </c>
      <c r="G641" s="23">
        <v>149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DEC44-CF8A-4D05-ACB0-BA93A1F42177}">
  <sheetPr codeName="Sheet12"/>
  <dimension ref="A3:B9"/>
  <sheetViews>
    <sheetView workbookViewId="0">
      <selection activeCell="O19" sqref="O19"/>
    </sheetView>
  </sheetViews>
  <sheetFormatPr defaultRowHeight="15" x14ac:dyDescent="0.25"/>
  <cols>
    <col min="1" max="1" width="13.42578125" bestFit="1" customWidth="1"/>
    <col min="2" max="2" width="24.140625" bestFit="1" customWidth="1"/>
  </cols>
  <sheetData>
    <row r="3" spans="1:2" x14ac:dyDescent="0.25">
      <c r="A3" s="10" t="s">
        <v>19</v>
      </c>
      <c r="B3" t="s">
        <v>203</v>
      </c>
    </row>
    <row r="4" spans="1:2" x14ac:dyDescent="0.25">
      <c r="A4" s="11">
        <v>2020</v>
      </c>
      <c r="B4">
        <v>26881</v>
      </c>
    </row>
    <row r="5" spans="1:2" x14ac:dyDescent="0.25">
      <c r="A5" s="11">
        <v>2021</v>
      </c>
      <c r="B5">
        <v>27946</v>
      </c>
    </row>
    <row r="6" spans="1:2" x14ac:dyDescent="0.25">
      <c r="A6" s="11">
        <v>2022</v>
      </c>
      <c r="B6">
        <v>27662</v>
      </c>
    </row>
    <row r="7" spans="1:2" x14ac:dyDescent="0.25">
      <c r="A7" s="11">
        <v>2023</v>
      </c>
      <c r="B7">
        <v>27355</v>
      </c>
    </row>
    <row r="8" spans="1:2" x14ac:dyDescent="0.25">
      <c r="A8" s="11">
        <v>2024</v>
      </c>
      <c r="B8">
        <v>25456</v>
      </c>
    </row>
    <row r="9" spans="1:2" x14ac:dyDescent="0.25">
      <c r="A9" s="11" t="s">
        <v>20</v>
      </c>
      <c r="B9">
        <v>135300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B693-6282-4726-8D0E-BFFEC3FB2294}">
  <sheetPr codeName="Sheet13"/>
  <dimension ref="A3:C9"/>
  <sheetViews>
    <sheetView workbookViewId="0">
      <selection activeCell="I20" sqref="I20"/>
    </sheetView>
  </sheetViews>
  <sheetFormatPr defaultRowHeight="15" x14ac:dyDescent="0.25"/>
  <cols>
    <col min="1" max="1" width="13.42578125" bestFit="1" customWidth="1"/>
    <col min="2" max="2" width="24.140625" bestFit="1" customWidth="1"/>
    <col min="3" max="3" width="20.28515625" bestFit="1" customWidth="1"/>
  </cols>
  <sheetData>
    <row r="3" spans="1:3" x14ac:dyDescent="0.25">
      <c r="A3" s="10" t="s">
        <v>19</v>
      </c>
      <c r="B3" t="s">
        <v>203</v>
      </c>
      <c r="C3" t="s">
        <v>204</v>
      </c>
    </row>
    <row r="4" spans="1:3" x14ac:dyDescent="0.25">
      <c r="A4" s="11">
        <v>2020</v>
      </c>
      <c r="B4">
        <v>26881</v>
      </c>
      <c r="C4">
        <v>19472</v>
      </c>
    </row>
    <row r="5" spans="1:3" x14ac:dyDescent="0.25">
      <c r="A5" s="11">
        <v>2021</v>
      </c>
      <c r="B5">
        <v>27946</v>
      </c>
      <c r="C5">
        <v>19727</v>
      </c>
    </row>
    <row r="6" spans="1:3" x14ac:dyDescent="0.25">
      <c r="A6" s="11">
        <v>2022</v>
      </c>
      <c r="B6">
        <v>27662</v>
      </c>
      <c r="C6">
        <v>19976</v>
      </c>
    </row>
    <row r="7" spans="1:3" x14ac:dyDescent="0.25">
      <c r="A7" s="11">
        <v>2023</v>
      </c>
      <c r="B7">
        <v>27355</v>
      </c>
      <c r="C7">
        <v>19770</v>
      </c>
    </row>
    <row r="8" spans="1:3" x14ac:dyDescent="0.25">
      <c r="A8" s="11">
        <v>2024</v>
      </c>
      <c r="B8">
        <v>25456</v>
      </c>
      <c r="C8">
        <v>17667</v>
      </c>
    </row>
    <row r="9" spans="1:3" x14ac:dyDescent="0.25">
      <c r="A9" s="11" t="s">
        <v>20</v>
      </c>
      <c r="B9">
        <v>135300</v>
      </c>
      <c r="C9">
        <v>96612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B167-AD33-436B-950E-365A272EDD3E}">
  <sheetPr codeName="Sheet14"/>
  <dimension ref="A3:B12"/>
  <sheetViews>
    <sheetView workbookViewId="0">
      <selection activeCell="O17" sqref="O17"/>
    </sheetView>
  </sheetViews>
  <sheetFormatPr defaultRowHeight="15" x14ac:dyDescent="0.25"/>
  <cols>
    <col min="1" max="1" width="13.42578125" bestFit="1" customWidth="1"/>
    <col min="2" max="2" width="24.140625" bestFit="1" customWidth="1"/>
  </cols>
  <sheetData>
    <row r="3" spans="1:2" x14ac:dyDescent="0.25">
      <c r="A3" s="10" t="s">
        <v>19</v>
      </c>
      <c r="B3" t="s">
        <v>203</v>
      </c>
    </row>
    <row r="4" spans="1:2" x14ac:dyDescent="0.25">
      <c r="A4" s="11" t="s">
        <v>194</v>
      </c>
      <c r="B4">
        <v>17426</v>
      </c>
    </row>
    <row r="5" spans="1:2" x14ac:dyDescent="0.25">
      <c r="A5" s="11" t="s">
        <v>193</v>
      </c>
      <c r="B5">
        <v>17261</v>
      </c>
    </row>
    <row r="6" spans="1:2" x14ac:dyDescent="0.25">
      <c r="A6" s="11" t="s">
        <v>192</v>
      </c>
      <c r="B6">
        <v>17101</v>
      </c>
    </row>
    <row r="7" spans="1:2" x14ac:dyDescent="0.25">
      <c r="A7" s="11" t="s">
        <v>189</v>
      </c>
      <c r="B7">
        <v>16801</v>
      </c>
    </row>
    <row r="8" spans="1:2" x14ac:dyDescent="0.25">
      <c r="A8" s="11" t="s">
        <v>195</v>
      </c>
      <c r="B8">
        <v>16774</v>
      </c>
    </row>
    <row r="9" spans="1:2" x14ac:dyDescent="0.25">
      <c r="A9" s="11" t="s">
        <v>187</v>
      </c>
      <c r="B9">
        <v>16704</v>
      </c>
    </row>
    <row r="10" spans="1:2" x14ac:dyDescent="0.25">
      <c r="A10" s="11" t="s">
        <v>191</v>
      </c>
      <c r="B10">
        <v>16682</v>
      </c>
    </row>
    <row r="11" spans="1:2" x14ac:dyDescent="0.25">
      <c r="A11" s="11" t="s">
        <v>196</v>
      </c>
      <c r="B11">
        <v>16551</v>
      </c>
    </row>
    <row r="12" spans="1:2" x14ac:dyDescent="0.25">
      <c r="A12" s="11" t="s">
        <v>20</v>
      </c>
      <c r="B12">
        <v>135300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01D28-6476-4596-B7DB-6D68DB778401}">
  <sheetPr codeName="Sheet15"/>
  <dimension ref="A3:B12"/>
  <sheetViews>
    <sheetView workbookViewId="0">
      <selection activeCell="P17" sqref="P17"/>
    </sheetView>
  </sheetViews>
  <sheetFormatPr defaultRowHeight="15" x14ac:dyDescent="0.25"/>
  <cols>
    <col min="1" max="1" width="18" bestFit="1" customWidth="1"/>
    <col min="2" max="2" width="24.140625" bestFit="1" customWidth="1"/>
  </cols>
  <sheetData>
    <row r="3" spans="1:2" x14ac:dyDescent="0.25">
      <c r="A3" s="10" t="s">
        <v>19</v>
      </c>
      <c r="B3" t="s">
        <v>203</v>
      </c>
    </row>
    <row r="4" spans="1:2" x14ac:dyDescent="0.25">
      <c r="A4" s="11" t="s">
        <v>182</v>
      </c>
      <c r="B4">
        <v>17601</v>
      </c>
    </row>
    <row r="5" spans="1:2" x14ac:dyDescent="0.25">
      <c r="A5" s="11" t="s">
        <v>198</v>
      </c>
      <c r="B5">
        <v>17499</v>
      </c>
    </row>
    <row r="6" spans="1:2" x14ac:dyDescent="0.25">
      <c r="A6" s="11" t="s">
        <v>201</v>
      </c>
      <c r="B6">
        <v>17357</v>
      </c>
    </row>
    <row r="7" spans="1:2" x14ac:dyDescent="0.25">
      <c r="A7" s="11" t="s">
        <v>202</v>
      </c>
      <c r="B7">
        <v>17091</v>
      </c>
    </row>
    <row r="8" spans="1:2" x14ac:dyDescent="0.25">
      <c r="A8" s="11" t="s">
        <v>199</v>
      </c>
      <c r="B8">
        <v>16830</v>
      </c>
    </row>
    <row r="9" spans="1:2" x14ac:dyDescent="0.25">
      <c r="A9" s="11" t="s">
        <v>200</v>
      </c>
      <c r="B9">
        <v>16742</v>
      </c>
    </row>
    <row r="10" spans="1:2" x14ac:dyDescent="0.25">
      <c r="A10" s="11" t="s">
        <v>181</v>
      </c>
      <c r="B10">
        <v>16683</v>
      </c>
    </row>
    <row r="11" spans="1:2" x14ac:dyDescent="0.25">
      <c r="A11" s="11" t="s">
        <v>197</v>
      </c>
      <c r="B11">
        <v>15497</v>
      </c>
    </row>
    <row r="12" spans="1:2" x14ac:dyDescent="0.25">
      <c r="A12" s="11" t="s">
        <v>20</v>
      </c>
      <c r="B12">
        <v>135300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D974-8B8B-41BB-A3F9-296D60956DA2}">
  <sheetPr codeName="Sheet16"/>
  <dimension ref="A3:B49"/>
  <sheetViews>
    <sheetView workbookViewId="0">
      <selection activeCell="J22" sqref="J22"/>
    </sheetView>
  </sheetViews>
  <sheetFormatPr defaultRowHeight="15" x14ac:dyDescent="0.25"/>
  <cols>
    <col min="1" max="1" width="16" bestFit="1" customWidth="1"/>
    <col min="2" max="2" width="24.140625" bestFit="1" customWidth="1"/>
    <col min="3" max="3" width="22.140625" bestFit="1" customWidth="1"/>
  </cols>
  <sheetData>
    <row r="3" spans="1:2" x14ac:dyDescent="0.25">
      <c r="A3" s="10" t="s">
        <v>19</v>
      </c>
      <c r="B3" t="s">
        <v>203</v>
      </c>
    </row>
    <row r="4" spans="1:2" x14ac:dyDescent="0.25">
      <c r="A4" s="11">
        <v>2020</v>
      </c>
      <c r="B4">
        <v>26881</v>
      </c>
    </row>
    <row r="5" spans="1:2" x14ac:dyDescent="0.25">
      <c r="A5" s="12" t="s">
        <v>196</v>
      </c>
      <c r="B5">
        <v>3640</v>
      </c>
    </row>
    <row r="6" spans="1:2" x14ac:dyDescent="0.25">
      <c r="A6" s="12" t="s">
        <v>191</v>
      </c>
      <c r="B6">
        <v>3465</v>
      </c>
    </row>
    <row r="7" spans="1:2" x14ac:dyDescent="0.25">
      <c r="A7" s="12" t="s">
        <v>193</v>
      </c>
      <c r="B7">
        <v>3416</v>
      </c>
    </row>
    <row r="8" spans="1:2" x14ac:dyDescent="0.25">
      <c r="A8" s="12" t="s">
        <v>187</v>
      </c>
      <c r="B8">
        <v>3367</v>
      </c>
    </row>
    <row r="9" spans="1:2" x14ac:dyDescent="0.25">
      <c r="A9" s="12" t="s">
        <v>195</v>
      </c>
      <c r="B9">
        <v>3259</v>
      </c>
    </row>
    <row r="10" spans="1:2" x14ac:dyDescent="0.25">
      <c r="A10" s="12" t="s">
        <v>192</v>
      </c>
      <c r="B10">
        <v>3251</v>
      </c>
    </row>
    <row r="11" spans="1:2" x14ac:dyDescent="0.25">
      <c r="A11" s="12" t="s">
        <v>194</v>
      </c>
      <c r="B11">
        <v>3247</v>
      </c>
    </row>
    <row r="12" spans="1:2" x14ac:dyDescent="0.25">
      <c r="A12" s="12" t="s">
        <v>189</v>
      </c>
      <c r="B12">
        <v>3236</v>
      </c>
    </row>
    <row r="13" spans="1:2" x14ac:dyDescent="0.25">
      <c r="A13" s="11">
        <v>2021</v>
      </c>
      <c r="B13">
        <v>27946</v>
      </c>
    </row>
    <row r="14" spans="1:2" x14ac:dyDescent="0.25">
      <c r="A14" s="12" t="s">
        <v>193</v>
      </c>
      <c r="B14">
        <v>3765</v>
      </c>
    </row>
    <row r="15" spans="1:2" x14ac:dyDescent="0.25">
      <c r="A15" s="12" t="s">
        <v>194</v>
      </c>
      <c r="B15">
        <v>3752</v>
      </c>
    </row>
    <row r="16" spans="1:2" x14ac:dyDescent="0.25">
      <c r="A16" s="12" t="s">
        <v>195</v>
      </c>
      <c r="B16">
        <v>3604</v>
      </c>
    </row>
    <row r="17" spans="1:2" x14ac:dyDescent="0.25">
      <c r="A17" s="12" t="s">
        <v>189</v>
      </c>
      <c r="B17">
        <v>3571</v>
      </c>
    </row>
    <row r="18" spans="1:2" x14ac:dyDescent="0.25">
      <c r="A18" s="12" t="s">
        <v>187</v>
      </c>
      <c r="B18">
        <v>3390</v>
      </c>
    </row>
    <row r="19" spans="1:2" x14ac:dyDescent="0.25">
      <c r="A19" s="12" t="s">
        <v>196</v>
      </c>
      <c r="B19">
        <v>3367</v>
      </c>
    </row>
    <row r="20" spans="1:2" x14ac:dyDescent="0.25">
      <c r="A20" s="12" t="s">
        <v>192</v>
      </c>
      <c r="B20">
        <v>3321</v>
      </c>
    </row>
    <row r="21" spans="1:2" x14ac:dyDescent="0.25">
      <c r="A21" s="12" t="s">
        <v>191</v>
      </c>
      <c r="B21">
        <v>3176</v>
      </c>
    </row>
    <row r="22" spans="1:2" x14ac:dyDescent="0.25">
      <c r="A22" s="11">
        <v>2022</v>
      </c>
      <c r="B22">
        <v>27662</v>
      </c>
    </row>
    <row r="23" spans="1:2" x14ac:dyDescent="0.25">
      <c r="A23" s="12" t="s">
        <v>194</v>
      </c>
      <c r="B23">
        <v>3985</v>
      </c>
    </row>
    <row r="24" spans="1:2" x14ac:dyDescent="0.25">
      <c r="A24" s="12" t="s">
        <v>187</v>
      </c>
      <c r="B24">
        <v>3612</v>
      </c>
    </row>
    <row r="25" spans="1:2" x14ac:dyDescent="0.25">
      <c r="A25" s="12" t="s">
        <v>193</v>
      </c>
      <c r="B25">
        <v>3484</v>
      </c>
    </row>
    <row r="26" spans="1:2" x14ac:dyDescent="0.25">
      <c r="A26" s="12" t="s">
        <v>196</v>
      </c>
      <c r="B26">
        <v>3414</v>
      </c>
    </row>
    <row r="27" spans="1:2" x14ac:dyDescent="0.25">
      <c r="A27" s="12" t="s">
        <v>189</v>
      </c>
      <c r="B27">
        <v>3380</v>
      </c>
    </row>
    <row r="28" spans="1:2" x14ac:dyDescent="0.25">
      <c r="A28" s="12" t="s">
        <v>192</v>
      </c>
      <c r="B28">
        <v>3337</v>
      </c>
    </row>
    <row r="29" spans="1:2" x14ac:dyDescent="0.25">
      <c r="A29" s="12" t="s">
        <v>195</v>
      </c>
      <c r="B29">
        <v>3276</v>
      </c>
    </row>
    <row r="30" spans="1:2" x14ac:dyDescent="0.25">
      <c r="A30" s="12" t="s">
        <v>191</v>
      </c>
      <c r="B30">
        <v>3174</v>
      </c>
    </row>
    <row r="31" spans="1:2" x14ac:dyDescent="0.25">
      <c r="A31" s="11">
        <v>2023</v>
      </c>
      <c r="B31">
        <v>27355</v>
      </c>
    </row>
    <row r="32" spans="1:2" x14ac:dyDescent="0.25">
      <c r="A32" s="12" t="s">
        <v>191</v>
      </c>
      <c r="B32">
        <v>3764</v>
      </c>
    </row>
    <row r="33" spans="1:2" x14ac:dyDescent="0.25">
      <c r="A33" s="12" t="s">
        <v>193</v>
      </c>
      <c r="B33">
        <v>3549</v>
      </c>
    </row>
    <row r="34" spans="1:2" x14ac:dyDescent="0.25">
      <c r="A34" s="12" t="s">
        <v>192</v>
      </c>
      <c r="B34">
        <v>3542</v>
      </c>
    </row>
    <row r="35" spans="1:2" x14ac:dyDescent="0.25">
      <c r="A35" s="12" t="s">
        <v>195</v>
      </c>
      <c r="B35">
        <v>3516</v>
      </c>
    </row>
    <row r="36" spans="1:2" x14ac:dyDescent="0.25">
      <c r="A36" s="12" t="s">
        <v>189</v>
      </c>
      <c r="B36">
        <v>3479</v>
      </c>
    </row>
    <row r="37" spans="1:2" x14ac:dyDescent="0.25">
      <c r="A37" s="12" t="s">
        <v>187</v>
      </c>
      <c r="B37">
        <v>3232</v>
      </c>
    </row>
    <row r="38" spans="1:2" x14ac:dyDescent="0.25">
      <c r="A38" s="12" t="s">
        <v>194</v>
      </c>
      <c r="B38">
        <v>3224</v>
      </c>
    </row>
    <row r="39" spans="1:2" x14ac:dyDescent="0.25">
      <c r="A39" s="12" t="s">
        <v>196</v>
      </c>
      <c r="B39">
        <v>3049</v>
      </c>
    </row>
    <row r="40" spans="1:2" x14ac:dyDescent="0.25">
      <c r="A40" s="11">
        <v>2024</v>
      </c>
      <c r="B40">
        <v>25456</v>
      </c>
    </row>
    <row r="41" spans="1:2" x14ac:dyDescent="0.25">
      <c r="A41" s="12" t="s">
        <v>192</v>
      </c>
      <c r="B41">
        <v>3650</v>
      </c>
    </row>
    <row r="42" spans="1:2" x14ac:dyDescent="0.25">
      <c r="A42" s="12" t="s">
        <v>194</v>
      </c>
      <c r="B42">
        <v>3218</v>
      </c>
    </row>
    <row r="43" spans="1:2" x14ac:dyDescent="0.25">
      <c r="A43" s="12" t="s">
        <v>189</v>
      </c>
      <c r="B43">
        <v>3135</v>
      </c>
    </row>
    <row r="44" spans="1:2" x14ac:dyDescent="0.25">
      <c r="A44" s="12" t="s">
        <v>195</v>
      </c>
      <c r="B44">
        <v>3119</v>
      </c>
    </row>
    <row r="45" spans="1:2" x14ac:dyDescent="0.25">
      <c r="A45" s="12" t="s">
        <v>187</v>
      </c>
      <c r="B45">
        <v>3103</v>
      </c>
    </row>
    <row r="46" spans="1:2" x14ac:dyDescent="0.25">
      <c r="A46" s="12" t="s">
        <v>191</v>
      </c>
      <c r="B46">
        <v>3103</v>
      </c>
    </row>
    <row r="47" spans="1:2" x14ac:dyDescent="0.25">
      <c r="A47" s="12" t="s">
        <v>196</v>
      </c>
      <c r="B47">
        <v>3081</v>
      </c>
    </row>
    <row r="48" spans="1:2" x14ac:dyDescent="0.25">
      <c r="A48" s="12" t="s">
        <v>193</v>
      </c>
      <c r="B48">
        <v>3047</v>
      </c>
    </row>
    <row r="49" spans="1:2" x14ac:dyDescent="0.25">
      <c r="A49" s="11" t="s">
        <v>20</v>
      </c>
      <c r="B49">
        <v>135300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E012-3BB7-49A5-8DF9-ECA9A0E47F68}">
  <sheetPr codeName="Sheet17"/>
  <dimension ref="A3:J10"/>
  <sheetViews>
    <sheetView workbookViewId="0">
      <selection activeCell="Y12" sqref="Y12"/>
    </sheetView>
  </sheetViews>
  <sheetFormatPr defaultRowHeight="15" x14ac:dyDescent="0.25"/>
  <cols>
    <col min="1" max="1" width="24.140625" bestFit="1" customWidth="1"/>
    <col min="2" max="2" width="14.5703125" style="35" bestFit="1" customWidth="1"/>
    <col min="3" max="3" width="11.5703125" bestFit="1" customWidth="1"/>
    <col min="4" max="4" width="6.5703125" bestFit="1" customWidth="1"/>
    <col min="5" max="5" width="7.140625" bestFit="1" customWidth="1"/>
    <col min="6" max="6" width="12.42578125" bestFit="1" customWidth="1"/>
    <col min="7" max="7" width="8.7109375" bestFit="1" customWidth="1"/>
    <col min="8" max="8" width="8.42578125" bestFit="1" customWidth="1"/>
    <col min="9" max="9" width="6.7109375" bestFit="1" customWidth="1"/>
    <col min="10" max="10" width="11.28515625" bestFit="1" customWidth="1"/>
  </cols>
  <sheetData>
    <row r="3" spans="1:10" x14ac:dyDescent="0.25">
      <c r="A3" s="10" t="s">
        <v>203</v>
      </c>
      <c r="B3" s="34" t="s">
        <v>205</v>
      </c>
    </row>
    <row r="4" spans="1:10" x14ac:dyDescent="0.25">
      <c r="A4" s="10" t="s">
        <v>19</v>
      </c>
      <c r="B4" s="35" t="s">
        <v>192</v>
      </c>
      <c r="C4" t="s">
        <v>189</v>
      </c>
      <c r="D4" t="s">
        <v>187</v>
      </c>
      <c r="E4" t="s">
        <v>191</v>
      </c>
      <c r="F4" t="s">
        <v>195</v>
      </c>
      <c r="G4" t="s">
        <v>193</v>
      </c>
      <c r="H4" t="s">
        <v>194</v>
      </c>
      <c r="I4" t="s">
        <v>196</v>
      </c>
      <c r="J4" t="s">
        <v>20</v>
      </c>
    </row>
    <row r="5" spans="1:10" x14ac:dyDescent="0.25">
      <c r="A5" s="11">
        <v>2020</v>
      </c>
      <c r="B5" s="35">
        <v>3251</v>
      </c>
      <c r="C5">
        <v>3236</v>
      </c>
      <c r="D5">
        <v>3367</v>
      </c>
      <c r="E5">
        <v>3465</v>
      </c>
      <c r="F5">
        <v>3259</v>
      </c>
      <c r="G5">
        <v>3416</v>
      </c>
      <c r="H5">
        <v>3247</v>
      </c>
      <c r="I5">
        <v>3640</v>
      </c>
      <c r="J5">
        <v>26881</v>
      </c>
    </row>
    <row r="6" spans="1:10" x14ac:dyDescent="0.25">
      <c r="A6" s="11">
        <v>2021</v>
      </c>
      <c r="B6" s="35">
        <v>3321</v>
      </c>
      <c r="C6">
        <v>3571</v>
      </c>
      <c r="D6">
        <v>3390</v>
      </c>
      <c r="E6">
        <v>3176</v>
      </c>
      <c r="F6">
        <v>3604</v>
      </c>
      <c r="G6">
        <v>3765</v>
      </c>
      <c r="H6">
        <v>3752</v>
      </c>
      <c r="I6">
        <v>3367</v>
      </c>
      <c r="J6">
        <v>27946</v>
      </c>
    </row>
    <row r="7" spans="1:10" x14ac:dyDescent="0.25">
      <c r="A7" s="11">
        <v>2022</v>
      </c>
      <c r="B7" s="35">
        <v>3337</v>
      </c>
      <c r="C7">
        <v>3380</v>
      </c>
      <c r="D7">
        <v>3612</v>
      </c>
      <c r="E7">
        <v>3174</v>
      </c>
      <c r="F7">
        <v>3276</v>
      </c>
      <c r="G7">
        <v>3484</v>
      </c>
      <c r="H7">
        <v>3985</v>
      </c>
      <c r="I7">
        <v>3414</v>
      </c>
      <c r="J7">
        <v>27662</v>
      </c>
    </row>
    <row r="8" spans="1:10" x14ac:dyDescent="0.25">
      <c r="A8" s="11">
        <v>2023</v>
      </c>
      <c r="B8" s="35">
        <v>3542</v>
      </c>
      <c r="C8">
        <v>3479</v>
      </c>
      <c r="D8">
        <v>3232</v>
      </c>
      <c r="E8">
        <v>3764</v>
      </c>
      <c r="F8">
        <v>3516</v>
      </c>
      <c r="G8">
        <v>3549</v>
      </c>
      <c r="H8">
        <v>3224</v>
      </c>
      <c r="I8">
        <v>3049</v>
      </c>
      <c r="J8">
        <v>27355</v>
      </c>
    </row>
    <row r="9" spans="1:10" x14ac:dyDescent="0.25">
      <c r="A9" s="11">
        <v>2024</v>
      </c>
      <c r="B9" s="35">
        <v>3650</v>
      </c>
      <c r="C9">
        <v>3135</v>
      </c>
      <c r="D9">
        <v>3103</v>
      </c>
      <c r="E9">
        <v>3103</v>
      </c>
      <c r="F9">
        <v>3119</v>
      </c>
      <c r="G9">
        <v>3047</v>
      </c>
      <c r="H9">
        <v>3218</v>
      </c>
      <c r="I9">
        <v>3081</v>
      </c>
      <c r="J9">
        <v>25456</v>
      </c>
    </row>
    <row r="10" spans="1:10" x14ac:dyDescent="0.25">
      <c r="A10" s="11" t="s">
        <v>20</v>
      </c>
      <c r="B10" s="35">
        <v>17101</v>
      </c>
      <c r="C10">
        <v>16801</v>
      </c>
      <c r="D10">
        <v>16704</v>
      </c>
      <c r="E10">
        <v>16682</v>
      </c>
      <c r="F10">
        <v>16774</v>
      </c>
      <c r="G10">
        <v>17261</v>
      </c>
      <c r="H10">
        <v>17426</v>
      </c>
      <c r="I10">
        <v>16551</v>
      </c>
      <c r="J10">
        <v>135300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853F7-7CAC-4198-B494-3CE54258E144}">
  <sheetPr codeName="Sheet18"/>
  <dimension ref="A3:B6"/>
  <sheetViews>
    <sheetView workbookViewId="0">
      <selection activeCell="R9" sqref="R9"/>
    </sheetView>
  </sheetViews>
  <sheetFormatPr defaultRowHeight="15" x14ac:dyDescent="0.25"/>
  <cols>
    <col min="1" max="1" width="13.42578125" bestFit="1" customWidth="1"/>
    <col min="2" max="2" width="24.140625" bestFit="1" customWidth="1"/>
  </cols>
  <sheetData>
    <row r="3" spans="1:2" x14ac:dyDescent="0.25">
      <c r="A3" s="10" t="s">
        <v>19</v>
      </c>
      <c r="B3" t="s">
        <v>203</v>
      </c>
    </row>
    <row r="4" spans="1:2" x14ac:dyDescent="0.25">
      <c r="A4" s="11" t="s">
        <v>190</v>
      </c>
      <c r="B4">
        <v>68689</v>
      </c>
    </row>
    <row r="5" spans="1:2" x14ac:dyDescent="0.25">
      <c r="A5" s="11" t="s">
        <v>188</v>
      </c>
      <c r="B5">
        <v>66611</v>
      </c>
    </row>
    <row r="6" spans="1:2" x14ac:dyDescent="0.25">
      <c r="A6" s="11" t="s">
        <v>20</v>
      </c>
      <c r="B6">
        <v>135300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3AE7-DF02-4703-96F8-1B2304276025}">
  <sheetPr codeName="Sheet19"/>
  <dimension ref="A3:B9"/>
  <sheetViews>
    <sheetView workbookViewId="0">
      <selection activeCell="N15" sqref="N15"/>
    </sheetView>
  </sheetViews>
  <sheetFormatPr defaultRowHeight="15" x14ac:dyDescent="0.25"/>
  <cols>
    <col min="1" max="1" width="13.42578125" bestFit="1" customWidth="1"/>
    <col min="2" max="2" width="21" bestFit="1" customWidth="1"/>
  </cols>
  <sheetData>
    <row r="3" spans="1:2" x14ac:dyDescent="0.25">
      <c r="A3" s="10" t="s">
        <v>19</v>
      </c>
      <c r="B3" t="s">
        <v>206</v>
      </c>
    </row>
    <row r="4" spans="1:2" x14ac:dyDescent="0.25">
      <c r="A4" s="11">
        <v>2020</v>
      </c>
      <c r="B4">
        <v>7409</v>
      </c>
    </row>
    <row r="5" spans="1:2" x14ac:dyDescent="0.25">
      <c r="A5" s="11">
        <v>2021</v>
      </c>
      <c r="B5">
        <v>8219</v>
      </c>
    </row>
    <row r="6" spans="1:2" x14ac:dyDescent="0.25">
      <c r="A6" s="11">
        <v>2022</v>
      </c>
      <c r="B6">
        <v>7686</v>
      </c>
    </row>
    <row r="7" spans="1:2" x14ac:dyDescent="0.25">
      <c r="A7" s="11">
        <v>2023</v>
      </c>
      <c r="B7">
        <v>7585</v>
      </c>
    </row>
    <row r="8" spans="1:2" x14ac:dyDescent="0.25">
      <c r="A8" s="11">
        <v>2024</v>
      </c>
      <c r="B8">
        <v>7789</v>
      </c>
    </row>
    <row r="9" spans="1:2" x14ac:dyDescent="0.25">
      <c r="A9" s="11" t="s">
        <v>20</v>
      </c>
      <c r="B9">
        <v>38688</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6338-E93E-4D5C-9716-4148B2C56075}">
  <sheetPr codeName="Sheet20"/>
  <dimension ref="A3:G12"/>
  <sheetViews>
    <sheetView workbookViewId="0">
      <selection activeCell="S18" sqref="S18"/>
    </sheetView>
  </sheetViews>
  <sheetFormatPr defaultRowHeight="15" x14ac:dyDescent="0.25"/>
  <cols>
    <col min="1" max="1" width="13.42578125" bestFit="1" customWidth="1"/>
    <col min="2" max="2" width="21" bestFit="1" customWidth="1"/>
    <col min="6" max="6" width="12.140625" bestFit="1" customWidth="1"/>
  </cols>
  <sheetData>
    <row r="3" spans="1:7" x14ac:dyDescent="0.25">
      <c r="A3" s="10" t="s">
        <v>19</v>
      </c>
      <c r="B3" t="s">
        <v>206</v>
      </c>
      <c r="F3" s="11" t="s">
        <v>192</v>
      </c>
      <c r="G3">
        <v>4513</v>
      </c>
    </row>
    <row r="4" spans="1:7" x14ac:dyDescent="0.25">
      <c r="A4" s="11" t="s">
        <v>192</v>
      </c>
      <c r="B4">
        <v>4513</v>
      </c>
      <c r="F4" s="11" t="s">
        <v>189</v>
      </c>
      <c r="G4">
        <v>5003</v>
      </c>
    </row>
    <row r="5" spans="1:7" x14ac:dyDescent="0.25">
      <c r="A5" s="11" t="s">
        <v>189</v>
      </c>
      <c r="B5">
        <v>5003</v>
      </c>
      <c r="F5" s="11" t="s">
        <v>187</v>
      </c>
      <c r="G5">
        <v>5223</v>
      </c>
    </row>
    <row r="6" spans="1:7" x14ac:dyDescent="0.25">
      <c r="A6" s="11" t="s">
        <v>187</v>
      </c>
      <c r="B6">
        <v>5223</v>
      </c>
      <c r="F6" s="11" t="s">
        <v>191</v>
      </c>
      <c r="G6">
        <v>4882</v>
      </c>
    </row>
    <row r="7" spans="1:7" x14ac:dyDescent="0.25">
      <c r="A7" s="11" t="s">
        <v>191</v>
      </c>
      <c r="B7">
        <v>4882</v>
      </c>
      <c r="F7" s="11" t="s">
        <v>195</v>
      </c>
      <c r="G7">
        <v>4694</v>
      </c>
    </row>
    <row r="8" spans="1:7" x14ac:dyDescent="0.25">
      <c r="A8" s="11" t="s">
        <v>195</v>
      </c>
      <c r="B8">
        <v>4694</v>
      </c>
      <c r="F8" s="11" t="s">
        <v>193</v>
      </c>
      <c r="G8">
        <v>4652</v>
      </c>
    </row>
    <row r="9" spans="1:7" x14ac:dyDescent="0.25">
      <c r="A9" s="11" t="s">
        <v>193</v>
      </c>
      <c r="B9">
        <v>4652</v>
      </c>
      <c r="F9" s="11" t="s">
        <v>194</v>
      </c>
      <c r="G9">
        <v>4941</v>
      </c>
    </row>
    <row r="10" spans="1:7" x14ac:dyDescent="0.25">
      <c r="A10" s="11" t="s">
        <v>194</v>
      </c>
      <c r="B10">
        <v>4941</v>
      </c>
      <c r="F10" s="11" t="s">
        <v>196</v>
      </c>
      <c r="G10">
        <v>4780</v>
      </c>
    </row>
    <row r="11" spans="1:7" x14ac:dyDescent="0.25">
      <c r="A11" s="11" t="s">
        <v>196</v>
      </c>
      <c r="B11">
        <v>4780</v>
      </c>
    </row>
    <row r="12" spans="1:7" x14ac:dyDescent="0.25">
      <c r="A12" s="11" t="s">
        <v>20</v>
      </c>
      <c r="B12">
        <v>38688</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9C1AB-BBEF-4A09-96B1-A6E232F4E54B}">
  <sheetPr codeName="Sheet21"/>
  <dimension ref="A3:C9"/>
  <sheetViews>
    <sheetView workbookViewId="0">
      <selection activeCell="O13" sqref="O13"/>
    </sheetView>
  </sheetViews>
  <sheetFormatPr defaultRowHeight="15" x14ac:dyDescent="0.25"/>
  <cols>
    <col min="1" max="1" width="13.42578125" bestFit="1" customWidth="1"/>
    <col min="2" max="2" width="24.140625" bestFit="1" customWidth="1"/>
    <col min="3" max="3" width="21" bestFit="1" customWidth="1"/>
  </cols>
  <sheetData>
    <row r="3" spans="1:3" x14ac:dyDescent="0.25">
      <c r="A3" s="10" t="s">
        <v>19</v>
      </c>
      <c r="B3" t="s">
        <v>203</v>
      </c>
      <c r="C3" t="s">
        <v>206</v>
      </c>
    </row>
    <row r="4" spans="1:3" x14ac:dyDescent="0.25">
      <c r="A4" s="11">
        <v>2020</v>
      </c>
      <c r="B4">
        <v>26881</v>
      </c>
      <c r="C4">
        <v>7409</v>
      </c>
    </row>
    <row r="5" spans="1:3" x14ac:dyDescent="0.25">
      <c r="A5" s="11">
        <v>2021</v>
      </c>
      <c r="B5">
        <v>27946</v>
      </c>
      <c r="C5">
        <v>8219</v>
      </c>
    </row>
    <row r="6" spans="1:3" x14ac:dyDescent="0.25">
      <c r="A6" s="11">
        <v>2022</v>
      </c>
      <c r="B6">
        <v>27662</v>
      </c>
      <c r="C6">
        <v>7686</v>
      </c>
    </row>
    <row r="7" spans="1:3" x14ac:dyDescent="0.25">
      <c r="A7" s="11">
        <v>2023</v>
      </c>
      <c r="B7">
        <v>27355</v>
      </c>
      <c r="C7">
        <v>7585</v>
      </c>
    </row>
    <row r="8" spans="1:3" x14ac:dyDescent="0.25">
      <c r="A8" s="11">
        <v>2024</v>
      </c>
      <c r="B8">
        <v>25456</v>
      </c>
      <c r="C8">
        <v>7789</v>
      </c>
    </row>
    <row r="9" spans="1:3" x14ac:dyDescent="0.25">
      <c r="A9" s="11" t="s">
        <v>20</v>
      </c>
      <c r="B9">
        <v>135300</v>
      </c>
      <c r="C9">
        <v>38688</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95C1-FB74-49C4-885E-F89804883FE6}">
  <sheetPr codeName="Sheet22"/>
  <dimension ref="A3:B6"/>
  <sheetViews>
    <sheetView workbookViewId="0">
      <selection activeCell="N10" sqref="N10"/>
    </sheetView>
  </sheetViews>
  <sheetFormatPr defaultRowHeight="15" x14ac:dyDescent="0.25"/>
  <cols>
    <col min="1" max="1" width="13.42578125" bestFit="1" customWidth="1"/>
    <col min="2" max="2" width="21" bestFit="1" customWidth="1"/>
  </cols>
  <sheetData>
    <row r="3" spans="1:2" x14ac:dyDescent="0.25">
      <c r="A3" s="10" t="s">
        <v>19</v>
      </c>
      <c r="B3" t="s">
        <v>206</v>
      </c>
    </row>
    <row r="4" spans="1:2" x14ac:dyDescent="0.25">
      <c r="A4" s="11" t="s">
        <v>190</v>
      </c>
      <c r="B4">
        <v>19534</v>
      </c>
    </row>
    <row r="5" spans="1:2" x14ac:dyDescent="0.25">
      <c r="A5" s="11" t="s">
        <v>188</v>
      </c>
      <c r="B5">
        <v>19154</v>
      </c>
    </row>
    <row r="6" spans="1:2" x14ac:dyDescent="0.25">
      <c r="A6" s="11" t="s">
        <v>20</v>
      </c>
      <c r="B6">
        <v>38688</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BEDF-221F-4BB1-B0A7-1721FB206A73}">
  <sheetPr codeName="Sheet23"/>
  <dimension ref="A3:B12"/>
  <sheetViews>
    <sheetView workbookViewId="0">
      <selection activeCell="R13" sqref="R13"/>
    </sheetView>
  </sheetViews>
  <sheetFormatPr defaultRowHeight="15" x14ac:dyDescent="0.25"/>
  <cols>
    <col min="1" max="1" width="18" bestFit="1" customWidth="1"/>
    <col min="2" max="2" width="21" bestFit="1" customWidth="1"/>
  </cols>
  <sheetData>
    <row r="3" spans="1:2" x14ac:dyDescent="0.25">
      <c r="A3" s="10" t="s">
        <v>19</v>
      </c>
      <c r="B3" t="s">
        <v>206</v>
      </c>
    </row>
    <row r="4" spans="1:2" x14ac:dyDescent="0.25">
      <c r="A4" s="11" t="s">
        <v>199</v>
      </c>
      <c r="B4">
        <v>5011</v>
      </c>
    </row>
    <row r="5" spans="1:2" x14ac:dyDescent="0.25">
      <c r="A5" s="11" t="s">
        <v>200</v>
      </c>
      <c r="B5">
        <v>5036</v>
      </c>
    </row>
    <row r="6" spans="1:2" x14ac:dyDescent="0.25">
      <c r="A6" s="11" t="s">
        <v>197</v>
      </c>
      <c r="B6">
        <v>4531</v>
      </c>
    </row>
    <row r="7" spans="1:2" x14ac:dyDescent="0.25">
      <c r="A7" s="11" t="s">
        <v>181</v>
      </c>
      <c r="B7">
        <v>4562</v>
      </c>
    </row>
    <row r="8" spans="1:2" x14ac:dyDescent="0.25">
      <c r="A8" s="11" t="s">
        <v>201</v>
      </c>
      <c r="B8">
        <v>4781</v>
      </c>
    </row>
    <row r="9" spans="1:2" x14ac:dyDescent="0.25">
      <c r="A9" s="11" t="s">
        <v>182</v>
      </c>
      <c r="B9">
        <v>5041</v>
      </c>
    </row>
    <row r="10" spans="1:2" x14ac:dyDescent="0.25">
      <c r="A10" s="11" t="s">
        <v>198</v>
      </c>
      <c r="B10">
        <v>5031</v>
      </c>
    </row>
    <row r="11" spans="1:2" x14ac:dyDescent="0.25">
      <c r="A11" s="11" t="s">
        <v>202</v>
      </c>
      <c r="B11">
        <v>4695</v>
      </c>
    </row>
    <row r="12" spans="1:2" x14ac:dyDescent="0.25">
      <c r="A12" s="11" t="s">
        <v>20</v>
      </c>
      <c r="B12">
        <v>38688</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090E-3DFC-4CAE-B76E-FDE62B72FF5C}">
  <sheetPr codeName="Sheet6"/>
  <dimension ref="A1:H41"/>
  <sheetViews>
    <sheetView workbookViewId="0">
      <selection activeCell="H1" sqref="H1:H1048576"/>
    </sheetView>
  </sheetViews>
  <sheetFormatPr defaultRowHeight="15" x14ac:dyDescent="0.25"/>
  <cols>
    <col min="7" max="7" width="11.85546875" bestFit="1" customWidth="1"/>
  </cols>
  <sheetData>
    <row r="1" spans="1:8" x14ac:dyDescent="0.25">
      <c r="A1" t="s">
        <v>24</v>
      </c>
      <c r="B1" t="s">
        <v>25</v>
      </c>
      <c r="C1" t="s">
        <v>26</v>
      </c>
      <c r="D1" t="s">
        <v>3</v>
      </c>
      <c r="E1" t="s">
        <v>27</v>
      </c>
      <c r="F1" t="s">
        <v>28</v>
      </c>
      <c r="G1" t="s">
        <v>29</v>
      </c>
      <c r="H1" t="s">
        <v>30</v>
      </c>
    </row>
    <row r="2" spans="1:8" x14ac:dyDescent="0.25">
      <c r="A2" t="s">
        <v>31</v>
      </c>
      <c r="B2" s="13">
        <v>45352</v>
      </c>
      <c r="C2" t="s">
        <v>32</v>
      </c>
      <c r="D2">
        <v>2</v>
      </c>
      <c r="E2">
        <v>15.99</v>
      </c>
      <c r="F2">
        <v>31.98</v>
      </c>
      <c r="G2" t="s">
        <v>33</v>
      </c>
      <c r="H2" t="s">
        <v>34</v>
      </c>
    </row>
    <row r="3" spans="1:8" x14ac:dyDescent="0.25">
      <c r="A3" t="s">
        <v>35</v>
      </c>
      <c r="B3" s="13">
        <v>45353</v>
      </c>
      <c r="C3" t="s">
        <v>36</v>
      </c>
      <c r="D3">
        <v>1</v>
      </c>
      <c r="E3">
        <v>45.5</v>
      </c>
      <c r="F3">
        <v>45.5</v>
      </c>
      <c r="G3" t="s">
        <v>37</v>
      </c>
      <c r="H3" t="s">
        <v>38</v>
      </c>
    </row>
    <row r="4" spans="1:8" x14ac:dyDescent="0.25">
      <c r="A4" t="s">
        <v>39</v>
      </c>
      <c r="B4" s="13">
        <v>45353</v>
      </c>
      <c r="C4" t="s">
        <v>40</v>
      </c>
      <c r="D4">
        <v>3</v>
      </c>
      <c r="E4">
        <v>12</v>
      </c>
      <c r="F4">
        <v>36</v>
      </c>
      <c r="G4" t="s">
        <v>41</v>
      </c>
      <c r="H4" t="s">
        <v>42</v>
      </c>
    </row>
    <row r="5" spans="1:8" x14ac:dyDescent="0.25">
      <c r="A5" t="s">
        <v>43</v>
      </c>
      <c r="B5" s="13">
        <v>45354</v>
      </c>
      <c r="C5" t="s">
        <v>32</v>
      </c>
      <c r="D5">
        <v>1</v>
      </c>
      <c r="E5">
        <v>15.99</v>
      </c>
      <c r="F5">
        <v>15.99</v>
      </c>
      <c r="G5" t="s">
        <v>44</v>
      </c>
      <c r="H5" t="s">
        <v>45</v>
      </c>
    </row>
    <row r="6" spans="1:8" x14ac:dyDescent="0.25">
      <c r="A6" t="s">
        <v>46</v>
      </c>
      <c r="B6" s="13">
        <v>45355</v>
      </c>
      <c r="C6" t="s">
        <v>47</v>
      </c>
      <c r="D6">
        <v>5</v>
      </c>
      <c r="E6">
        <v>8.5</v>
      </c>
      <c r="F6">
        <v>42.5</v>
      </c>
      <c r="G6" t="s">
        <v>33</v>
      </c>
      <c r="H6" t="s">
        <v>34</v>
      </c>
    </row>
    <row r="7" spans="1:8" x14ac:dyDescent="0.25">
      <c r="A7" t="s">
        <v>48</v>
      </c>
      <c r="B7" s="13">
        <v>45355</v>
      </c>
      <c r="C7" t="s">
        <v>49</v>
      </c>
      <c r="D7">
        <v>2</v>
      </c>
      <c r="E7">
        <v>22.3</v>
      </c>
      <c r="F7">
        <v>44.6</v>
      </c>
      <c r="G7" t="s">
        <v>37</v>
      </c>
      <c r="H7" t="s">
        <v>38</v>
      </c>
    </row>
    <row r="8" spans="1:8" x14ac:dyDescent="0.25">
      <c r="A8" t="s">
        <v>50</v>
      </c>
      <c r="B8" s="13">
        <v>45356</v>
      </c>
      <c r="C8" t="s">
        <v>51</v>
      </c>
      <c r="D8">
        <v>4</v>
      </c>
      <c r="E8">
        <v>10</v>
      </c>
      <c r="F8">
        <v>40</v>
      </c>
      <c r="G8" t="s">
        <v>41</v>
      </c>
      <c r="H8" t="s">
        <v>42</v>
      </c>
    </row>
    <row r="9" spans="1:8" x14ac:dyDescent="0.25">
      <c r="A9" t="s">
        <v>52</v>
      </c>
      <c r="B9" s="13">
        <v>45357</v>
      </c>
      <c r="C9" t="s">
        <v>32</v>
      </c>
      <c r="D9">
        <v>2</v>
      </c>
      <c r="E9">
        <v>15.99</v>
      </c>
      <c r="F9">
        <v>31.98</v>
      </c>
      <c r="G9" t="s">
        <v>44</v>
      </c>
      <c r="H9" t="s">
        <v>45</v>
      </c>
    </row>
    <row r="10" spans="1:8" x14ac:dyDescent="0.25">
      <c r="A10" t="s">
        <v>53</v>
      </c>
      <c r="B10" s="13">
        <v>45358</v>
      </c>
      <c r="C10" t="s">
        <v>36</v>
      </c>
      <c r="D10">
        <v>3</v>
      </c>
      <c r="E10">
        <v>45.5</v>
      </c>
      <c r="F10">
        <v>136.5</v>
      </c>
      <c r="G10" t="s">
        <v>33</v>
      </c>
      <c r="H10" t="s">
        <v>34</v>
      </c>
    </row>
    <row r="11" spans="1:8" x14ac:dyDescent="0.25">
      <c r="A11" t="s">
        <v>54</v>
      </c>
      <c r="B11" s="13">
        <v>45359</v>
      </c>
      <c r="C11" t="s">
        <v>55</v>
      </c>
      <c r="D11">
        <v>1</v>
      </c>
      <c r="E11">
        <v>60</v>
      </c>
      <c r="F11">
        <v>60</v>
      </c>
      <c r="G11" t="s">
        <v>37</v>
      </c>
      <c r="H11" t="s">
        <v>38</v>
      </c>
    </row>
    <row r="12" spans="1:8" x14ac:dyDescent="0.25">
      <c r="A12" t="s">
        <v>56</v>
      </c>
      <c r="B12" s="13">
        <v>45359</v>
      </c>
      <c r="C12" t="s">
        <v>57</v>
      </c>
      <c r="D12">
        <v>2</v>
      </c>
      <c r="E12">
        <v>5</v>
      </c>
      <c r="F12">
        <v>10</v>
      </c>
      <c r="G12" t="s">
        <v>41</v>
      </c>
      <c r="H12" t="s">
        <v>42</v>
      </c>
    </row>
    <row r="13" spans="1:8" x14ac:dyDescent="0.25">
      <c r="A13" t="s">
        <v>58</v>
      </c>
      <c r="B13" s="13">
        <v>45360</v>
      </c>
      <c r="C13" t="s">
        <v>47</v>
      </c>
      <c r="D13">
        <v>4</v>
      </c>
      <c r="E13">
        <v>8.5</v>
      </c>
      <c r="F13">
        <v>34</v>
      </c>
      <c r="G13" t="s">
        <v>44</v>
      </c>
      <c r="H13" t="s">
        <v>45</v>
      </c>
    </row>
    <row r="14" spans="1:8" x14ac:dyDescent="0.25">
      <c r="A14" t="s">
        <v>59</v>
      </c>
      <c r="B14" s="13">
        <v>45361</v>
      </c>
      <c r="C14" t="s">
        <v>60</v>
      </c>
      <c r="D14">
        <v>2</v>
      </c>
      <c r="E14">
        <v>19.989999999999998</v>
      </c>
      <c r="F14">
        <v>39.979999999999997</v>
      </c>
      <c r="G14" t="s">
        <v>33</v>
      </c>
      <c r="H14" t="s">
        <v>34</v>
      </c>
    </row>
    <row r="15" spans="1:8" x14ac:dyDescent="0.25">
      <c r="A15" t="s">
        <v>61</v>
      </c>
      <c r="B15" s="13">
        <v>45362</v>
      </c>
      <c r="C15" t="s">
        <v>62</v>
      </c>
      <c r="D15">
        <v>3</v>
      </c>
      <c r="E15">
        <v>25</v>
      </c>
      <c r="F15">
        <v>75</v>
      </c>
      <c r="G15" t="s">
        <v>37</v>
      </c>
      <c r="H15" t="s">
        <v>38</v>
      </c>
    </row>
    <row r="16" spans="1:8" x14ac:dyDescent="0.25">
      <c r="A16" t="s">
        <v>63</v>
      </c>
      <c r="B16" s="13">
        <v>45362</v>
      </c>
      <c r="C16" t="s">
        <v>40</v>
      </c>
      <c r="D16">
        <v>1</v>
      </c>
      <c r="E16">
        <v>12</v>
      </c>
      <c r="F16">
        <v>12</v>
      </c>
      <c r="G16" t="s">
        <v>41</v>
      </c>
      <c r="H16" t="s">
        <v>42</v>
      </c>
    </row>
    <row r="17" spans="1:8" x14ac:dyDescent="0.25">
      <c r="A17" t="s">
        <v>64</v>
      </c>
      <c r="B17" s="13">
        <v>45363</v>
      </c>
      <c r="C17" t="s">
        <v>51</v>
      </c>
      <c r="D17">
        <v>2</v>
      </c>
      <c r="E17">
        <v>10</v>
      </c>
      <c r="F17">
        <v>20</v>
      </c>
      <c r="G17" t="s">
        <v>44</v>
      </c>
      <c r="H17" t="s">
        <v>45</v>
      </c>
    </row>
    <row r="18" spans="1:8" x14ac:dyDescent="0.25">
      <c r="A18" t="s">
        <v>65</v>
      </c>
      <c r="B18" s="13">
        <v>45364</v>
      </c>
      <c r="C18" t="s">
        <v>49</v>
      </c>
      <c r="D18">
        <v>4</v>
      </c>
      <c r="E18">
        <v>22.3</v>
      </c>
      <c r="F18">
        <v>89.2</v>
      </c>
      <c r="G18" t="s">
        <v>33</v>
      </c>
      <c r="H18" t="s">
        <v>34</v>
      </c>
    </row>
    <row r="19" spans="1:8" x14ac:dyDescent="0.25">
      <c r="A19" t="s">
        <v>66</v>
      </c>
      <c r="B19" s="13">
        <v>45364</v>
      </c>
      <c r="C19" t="s">
        <v>32</v>
      </c>
      <c r="D19">
        <v>3</v>
      </c>
      <c r="E19">
        <v>15.99</v>
      </c>
      <c r="F19">
        <v>47.97</v>
      </c>
      <c r="G19" t="s">
        <v>37</v>
      </c>
      <c r="H19" t="s">
        <v>38</v>
      </c>
    </row>
    <row r="20" spans="1:8" x14ac:dyDescent="0.25">
      <c r="A20" t="s">
        <v>67</v>
      </c>
      <c r="B20" s="13">
        <v>45365</v>
      </c>
      <c r="C20" t="s">
        <v>57</v>
      </c>
      <c r="D20">
        <v>1</v>
      </c>
      <c r="E20">
        <v>5</v>
      </c>
      <c r="F20">
        <v>5</v>
      </c>
      <c r="G20" t="s">
        <v>41</v>
      </c>
      <c r="H20" t="s">
        <v>42</v>
      </c>
    </row>
    <row r="21" spans="1:8" x14ac:dyDescent="0.25">
      <c r="A21" t="s">
        <v>68</v>
      </c>
      <c r="B21" s="13">
        <v>45366</v>
      </c>
      <c r="C21" t="s">
        <v>62</v>
      </c>
      <c r="D21">
        <v>2</v>
      </c>
      <c r="E21">
        <v>25</v>
      </c>
      <c r="F21">
        <v>50</v>
      </c>
      <c r="G21" t="s">
        <v>44</v>
      </c>
      <c r="H21" t="s">
        <v>45</v>
      </c>
    </row>
    <row r="22" spans="1:8" x14ac:dyDescent="0.25">
      <c r="A22" t="s">
        <v>69</v>
      </c>
      <c r="B22" s="13">
        <v>45366</v>
      </c>
      <c r="C22" t="s">
        <v>36</v>
      </c>
      <c r="D22">
        <v>2</v>
      </c>
      <c r="E22">
        <v>45.5</v>
      </c>
      <c r="F22">
        <v>91</v>
      </c>
      <c r="G22" t="s">
        <v>33</v>
      </c>
      <c r="H22" t="s">
        <v>34</v>
      </c>
    </row>
    <row r="23" spans="1:8" x14ac:dyDescent="0.25">
      <c r="A23" t="s">
        <v>70</v>
      </c>
      <c r="B23" s="13">
        <v>45367</v>
      </c>
      <c r="C23" t="s">
        <v>60</v>
      </c>
      <c r="D23">
        <v>3</v>
      </c>
      <c r="E23">
        <v>19.989999999999998</v>
      </c>
      <c r="F23">
        <v>59.97</v>
      </c>
      <c r="G23" t="s">
        <v>37</v>
      </c>
      <c r="H23" t="s">
        <v>38</v>
      </c>
    </row>
    <row r="24" spans="1:8" x14ac:dyDescent="0.25">
      <c r="A24" t="s">
        <v>71</v>
      </c>
      <c r="B24" s="13">
        <v>45368</v>
      </c>
      <c r="C24" t="s">
        <v>55</v>
      </c>
      <c r="D24">
        <v>1</v>
      </c>
      <c r="E24">
        <v>60</v>
      </c>
      <c r="F24">
        <v>60</v>
      </c>
      <c r="G24" t="s">
        <v>41</v>
      </c>
      <c r="H24" t="s">
        <v>42</v>
      </c>
    </row>
    <row r="25" spans="1:8" x14ac:dyDescent="0.25">
      <c r="A25" t="s">
        <v>72</v>
      </c>
      <c r="B25" s="13">
        <v>45368</v>
      </c>
      <c r="C25" t="s">
        <v>51</v>
      </c>
      <c r="D25">
        <v>3</v>
      </c>
      <c r="E25">
        <v>10</v>
      </c>
      <c r="F25">
        <v>30</v>
      </c>
      <c r="G25" t="s">
        <v>44</v>
      </c>
      <c r="H25" t="s">
        <v>45</v>
      </c>
    </row>
    <row r="26" spans="1:8" x14ac:dyDescent="0.25">
      <c r="A26" t="s">
        <v>73</v>
      </c>
      <c r="B26" s="13">
        <v>45369</v>
      </c>
      <c r="C26" t="s">
        <v>40</v>
      </c>
      <c r="D26">
        <v>2</v>
      </c>
      <c r="E26">
        <v>12</v>
      </c>
      <c r="F26">
        <v>24</v>
      </c>
      <c r="G26" t="s">
        <v>33</v>
      </c>
      <c r="H26" t="s">
        <v>34</v>
      </c>
    </row>
    <row r="27" spans="1:8" x14ac:dyDescent="0.25">
      <c r="A27" t="s">
        <v>74</v>
      </c>
      <c r="B27" s="13">
        <v>45369</v>
      </c>
      <c r="C27" t="s">
        <v>47</v>
      </c>
      <c r="D27">
        <v>5</v>
      </c>
      <c r="E27">
        <v>8.5</v>
      </c>
      <c r="F27">
        <v>42.5</v>
      </c>
      <c r="G27" t="s">
        <v>37</v>
      </c>
      <c r="H27" t="s">
        <v>38</v>
      </c>
    </row>
    <row r="28" spans="1:8" x14ac:dyDescent="0.25">
      <c r="A28" t="s">
        <v>75</v>
      </c>
      <c r="B28" s="13">
        <v>45370</v>
      </c>
      <c r="C28" t="s">
        <v>62</v>
      </c>
      <c r="D28">
        <v>1</v>
      </c>
      <c r="E28">
        <v>25</v>
      </c>
      <c r="F28">
        <v>25</v>
      </c>
      <c r="G28" t="s">
        <v>41</v>
      </c>
      <c r="H28" t="s">
        <v>42</v>
      </c>
    </row>
    <row r="29" spans="1:8" x14ac:dyDescent="0.25">
      <c r="A29" t="s">
        <v>76</v>
      </c>
      <c r="B29" s="13">
        <v>45371</v>
      </c>
      <c r="C29" t="s">
        <v>32</v>
      </c>
      <c r="D29">
        <v>2</v>
      </c>
      <c r="E29">
        <v>15.99</v>
      </c>
      <c r="F29">
        <v>31.98</v>
      </c>
      <c r="G29" t="s">
        <v>44</v>
      </c>
      <c r="H29" t="s">
        <v>45</v>
      </c>
    </row>
    <row r="30" spans="1:8" x14ac:dyDescent="0.25">
      <c r="A30" t="s">
        <v>77</v>
      </c>
      <c r="B30" s="13">
        <v>45371</v>
      </c>
      <c r="C30" t="s">
        <v>49</v>
      </c>
      <c r="D30">
        <v>3</v>
      </c>
      <c r="E30">
        <v>22.3</v>
      </c>
      <c r="F30">
        <v>66.900000000000006</v>
      </c>
      <c r="G30" t="s">
        <v>33</v>
      </c>
      <c r="H30" t="s">
        <v>34</v>
      </c>
    </row>
    <row r="31" spans="1:8" x14ac:dyDescent="0.25">
      <c r="A31" t="s">
        <v>78</v>
      </c>
      <c r="B31" s="13">
        <v>45372</v>
      </c>
      <c r="C31" t="s">
        <v>36</v>
      </c>
      <c r="D31">
        <v>1</v>
      </c>
      <c r="E31">
        <v>45.5</v>
      </c>
      <c r="F31">
        <v>45.5</v>
      </c>
      <c r="G31" t="s">
        <v>37</v>
      </c>
      <c r="H31" t="s">
        <v>38</v>
      </c>
    </row>
    <row r="32" spans="1:8" x14ac:dyDescent="0.25">
      <c r="A32" t="s">
        <v>79</v>
      </c>
      <c r="B32" s="13">
        <v>45372</v>
      </c>
      <c r="C32" t="s">
        <v>40</v>
      </c>
      <c r="D32">
        <v>4</v>
      </c>
      <c r="E32">
        <v>12</v>
      </c>
      <c r="F32">
        <v>48</v>
      </c>
      <c r="G32" t="s">
        <v>41</v>
      </c>
      <c r="H32" t="s">
        <v>42</v>
      </c>
    </row>
    <row r="33" spans="1:8" x14ac:dyDescent="0.25">
      <c r="A33" t="s">
        <v>80</v>
      </c>
      <c r="B33" s="13">
        <v>45373</v>
      </c>
      <c r="C33" t="s">
        <v>47</v>
      </c>
      <c r="D33">
        <v>2</v>
      </c>
      <c r="E33">
        <v>8.5</v>
      </c>
      <c r="F33">
        <v>17</v>
      </c>
      <c r="G33" t="s">
        <v>44</v>
      </c>
      <c r="H33" t="s">
        <v>45</v>
      </c>
    </row>
    <row r="34" spans="1:8" x14ac:dyDescent="0.25">
      <c r="A34" t="s">
        <v>81</v>
      </c>
      <c r="B34" s="13">
        <v>45373</v>
      </c>
      <c r="C34" t="s">
        <v>60</v>
      </c>
      <c r="D34">
        <v>1</v>
      </c>
      <c r="E34">
        <v>19.989999999999998</v>
      </c>
      <c r="F34">
        <v>19.989999999999998</v>
      </c>
      <c r="G34" t="s">
        <v>33</v>
      </c>
      <c r="H34" t="s">
        <v>34</v>
      </c>
    </row>
    <row r="35" spans="1:8" x14ac:dyDescent="0.25">
      <c r="A35" t="s">
        <v>82</v>
      </c>
      <c r="B35" s="13">
        <v>45374</v>
      </c>
      <c r="C35" t="s">
        <v>55</v>
      </c>
      <c r="D35">
        <v>2</v>
      </c>
      <c r="E35">
        <v>60</v>
      </c>
      <c r="F35">
        <v>120</v>
      </c>
      <c r="G35" t="s">
        <v>37</v>
      </c>
      <c r="H35" t="s">
        <v>38</v>
      </c>
    </row>
    <row r="36" spans="1:8" x14ac:dyDescent="0.25">
      <c r="A36" t="s">
        <v>83</v>
      </c>
      <c r="B36" s="13">
        <v>45374</v>
      </c>
      <c r="C36" t="s">
        <v>51</v>
      </c>
      <c r="D36">
        <v>1</v>
      </c>
      <c r="E36">
        <v>10</v>
      </c>
      <c r="F36">
        <v>10</v>
      </c>
      <c r="G36" t="s">
        <v>41</v>
      </c>
      <c r="H36" t="s">
        <v>42</v>
      </c>
    </row>
    <row r="37" spans="1:8" x14ac:dyDescent="0.25">
      <c r="A37" t="s">
        <v>84</v>
      </c>
      <c r="B37" s="13">
        <v>45375</v>
      </c>
      <c r="C37" t="s">
        <v>32</v>
      </c>
      <c r="D37">
        <v>3</v>
      </c>
      <c r="E37">
        <v>15.99</v>
      </c>
      <c r="F37">
        <v>47.97</v>
      </c>
      <c r="G37" t="s">
        <v>44</v>
      </c>
      <c r="H37" t="s">
        <v>45</v>
      </c>
    </row>
    <row r="38" spans="1:8" x14ac:dyDescent="0.25">
      <c r="A38" t="s">
        <v>85</v>
      </c>
      <c r="B38" s="13">
        <v>45376</v>
      </c>
      <c r="C38" t="s">
        <v>57</v>
      </c>
      <c r="D38">
        <v>4</v>
      </c>
      <c r="E38">
        <v>5</v>
      </c>
      <c r="F38">
        <v>20</v>
      </c>
      <c r="G38" t="s">
        <v>33</v>
      </c>
      <c r="H38" t="s">
        <v>34</v>
      </c>
    </row>
    <row r="39" spans="1:8" x14ac:dyDescent="0.25">
      <c r="A39" t="s">
        <v>86</v>
      </c>
      <c r="B39" s="13">
        <v>45376</v>
      </c>
      <c r="C39" t="s">
        <v>62</v>
      </c>
      <c r="D39">
        <v>2</v>
      </c>
      <c r="E39">
        <v>25</v>
      </c>
      <c r="F39">
        <v>50</v>
      </c>
      <c r="G39" t="s">
        <v>37</v>
      </c>
      <c r="H39" t="s">
        <v>38</v>
      </c>
    </row>
    <row r="40" spans="1:8" x14ac:dyDescent="0.25">
      <c r="A40" t="s">
        <v>87</v>
      </c>
      <c r="B40" s="13">
        <v>45377</v>
      </c>
      <c r="C40" t="s">
        <v>36</v>
      </c>
      <c r="D40">
        <v>2</v>
      </c>
      <c r="E40">
        <v>45.5</v>
      </c>
      <c r="F40">
        <v>91</v>
      </c>
      <c r="G40" t="s">
        <v>41</v>
      </c>
      <c r="H40" t="s">
        <v>42</v>
      </c>
    </row>
    <row r="41" spans="1:8" x14ac:dyDescent="0.25">
      <c r="A41" t="s">
        <v>88</v>
      </c>
      <c r="B41" s="13">
        <v>45377</v>
      </c>
      <c r="C41" t="s">
        <v>49</v>
      </c>
      <c r="D41">
        <v>1</v>
      </c>
      <c r="E41">
        <v>22.3</v>
      </c>
      <c r="F41">
        <v>22.3</v>
      </c>
      <c r="G41" t="s">
        <v>44</v>
      </c>
      <c r="H4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Rev Dashboard</vt:lpstr>
      <vt:lpstr>Profit Dashboard</vt:lpstr>
      <vt:lpstr>Advanced formulas &amp; Slicers</vt:lpstr>
      <vt:lpstr>Dynamic drop down &amp; LOOOKUPS</vt:lpstr>
      <vt:lpstr>VBA</vt:lpstr>
      <vt:lpstr>Pivot Table</vt:lpstr>
      <vt:lpstr>Charts with Slicers</vt:lpstr>
      <vt:lpstr>Conditional Formating</vt:lpstr>
      <vt:lpstr>Table 1</vt:lpstr>
      <vt:lpstr>Dashboard Data</vt:lpstr>
      <vt:lpstr>Year-wise Revenue</vt:lpstr>
      <vt:lpstr>Year-wise Revenue &amp; Cost</vt:lpstr>
      <vt:lpstr>Revenue by Divisions</vt:lpstr>
      <vt:lpstr>Revenue by Products</vt:lpstr>
      <vt:lpstr>Year-wise Divisional Revenue</vt:lpstr>
      <vt:lpstr>Division-wise yearly Revenue</vt:lpstr>
      <vt:lpstr>Revenue by Payment Method</vt:lpstr>
      <vt:lpstr>Profit By Year</vt:lpstr>
      <vt:lpstr>Profit by Division</vt:lpstr>
      <vt:lpstr>Year-wise Revenue &amp; Profit</vt:lpstr>
      <vt:lpstr>Profit by Order Method </vt:lpstr>
      <vt:lpstr>Profit by Product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 Ahammed Mahin</dc:creator>
  <cp:lastModifiedBy>Musa Ahammed Mahin</cp:lastModifiedBy>
  <dcterms:created xsi:type="dcterms:W3CDTF">2025-04-04T08:34:29Z</dcterms:created>
  <dcterms:modified xsi:type="dcterms:W3CDTF">2025-05-03T10:55:40Z</dcterms:modified>
</cp:coreProperties>
</file>
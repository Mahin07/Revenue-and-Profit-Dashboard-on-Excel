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Ex1.xml" ContentType="application/vnd.ms-office.chartex+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tables/table1.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drawings/drawing5.xml" ContentType="application/vnd.openxmlformats-officedocument.drawing+xml"/>
  <Override PartName="/xl/activeX/activeX2.xml" ContentType="application/vnd.ms-office.activeX+xml"/>
  <Override PartName="/xl/activeX/activeX2.bin" ContentType="application/vnd.ms-office.activeX"/>
  <Override PartName="/xl/tables/table2.xml" ContentType="application/vnd.openxmlformats-officedocument.spreadsheetml.table+xml"/>
  <Override PartName="/xl/drawings/drawing6.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7.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xml" ContentType="application/vnd.openxmlformats-officedocument.spreadsheetml.pivotTable+xml"/>
  <Override PartName="/xl/drawings/drawing8.xml" ContentType="application/vnd.openxmlformats-officedocument.drawing+xml"/>
  <Override PartName="/xl/charts/chart15.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3.xml" ContentType="application/vnd.openxmlformats-officedocument.spreadsheetml.pivotTable+xml"/>
  <Override PartName="/xl/drawings/drawing9.xml" ContentType="application/vnd.openxmlformats-officedocument.drawing+xml"/>
  <Override PartName="/xl/charts/chart16.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4.xml" ContentType="application/vnd.openxmlformats-officedocument.spreadsheetml.pivotTable+xml"/>
  <Override PartName="/xl/drawings/drawing10.xml" ContentType="application/vnd.openxmlformats-officedocument.drawing+xml"/>
  <Override PartName="/xl/charts/chart17.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5.xml" ContentType="application/vnd.openxmlformats-officedocument.spreadsheetml.pivotTable+xml"/>
  <Override PartName="/xl/drawings/drawing11.xml" ContentType="application/vnd.openxmlformats-officedocument.drawing+xml"/>
  <Override PartName="/xl/charts/chart18.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6.xml" ContentType="application/vnd.openxmlformats-officedocument.spreadsheetml.pivotTable+xml"/>
  <Override PartName="/xl/drawings/drawing12.xml" ContentType="application/vnd.openxmlformats-officedocument.drawing+xml"/>
  <Override PartName="/xl/charts/chart1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7.xml" ContentType="application/vnd.openxmlformats-officedocument.spreadsheetml.pivotTable+xml"/>
  <Override PartName="/xl/drawings/drawing13.xml" ContentType="application/vnd.openxmlformats-officedocument.drawing+xml"/>
  <Override PartName="/xl/charts/chart20.xml" ContentType="application/vnd.openxmlformats-officedocument.drawingml.chart+xml"/>
  <Override PartName="/xl/charts/style21.xml" ContentType="application/vnd.ms-office.chartstyle+xml"/>
  <Override PartName="/xl/charts/colors21.xml" ContentType="application/vnd.ms-office.chartcolorstyle+xml"/>
  <Override PartName="/xl/pivotTables/pivotTable8.xml" ContentType="application/vnd.openxmlformats-officedocument.spreadsheetml.pivotTable+xml"/>
  <Override PartName="/xl/drawings/drawing14.xml" ContentType="application/vnd.openxmlformats-officedocument.drawing+xml"/>
  <Override PartName="/xl/charts/chart21.xml" ContentType="application/vnd.openxmlformats-officedocument.drawingml.chart+xml"/>
  <Override PartName="/xl/charts/style22.xml" ContentType="application/vnd.ms-office.chartstyle+xml"/>
  <Override PartName="/xl/charts/colors22.xml" ContentType="application/vnd.ms-office.chartcolorstyle+xml"/>
  <Override PartName="/xl/pivotTables/pivotTable9.xml" ContentType="application/vnd.openxmlformats-officedocument.spreadsheetml.pivotTable+xml"/>
  <Override PartName="/xl/drawings/drawing15.xml" ContentType="application/vnd.openxmlformats-officedocument.drawing+xml"/>
  <Override PartName="/xl/charts/chart22.xml" ContentType="application/vnd.openxmlformats-officedocument.drawingml.chart+xml"/>
  <Override PartName="/xl/charts/style23.xml" ContentType="application/vnd.ms-office.chartstyle+xml"/>
  <Override PartName="/xl/charts/colors23.xml" ContentType="application/vnd.ms-office.chartcolorstyle+xml"/>
  <Override PartName="/xl/pivotTables/pivotTable10.xml" ContentType="application/vnd.openxmlformats-officedocument.spreadsheetml.pivotTable+xml"/>
  <Override PartName="/xl/drawings/drawing16.xml" ContentType="application/vnd.openxmlformats-officedocument.drawing+xml"/>
  <Override PartName="/xl/charts/chartEx2.xml" ContentType="application/vnd.ms-office.chartex+xml"/>
  <Override PartName="/xl/charts/style24.xml" ContentType="application/vnd.ms-office.chartstyle+xml"/>
  <Override PartName="/xl/charts/colors24.xml" ContentType="application/vnd.ms-office.chartcolorstyle+xml"/>
  <Override PartName="/xl/pivotTables/pivotTable11.xml" ContentType="application/vnd.openxmlformats-officedocument.spreadsheetml.pivotTable+xml"/>
  <Override PartName="/xl/drawings/drawing17.xml" ContentType="application/vnd.openxmlformats-officedocument.drawing+xml"/>
  <Override PartName="/xl/charts/chart23.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12.xml" ContentType="application/vnd.openxmlformats-officedocument.spreadsheetml.pivotTable+xml"/>
  <Override PartName="/xl/drawings/drawing18.xml" ContentType="application/vnd.openxmlformats-officedocument.drawing+xml"/>
  <Override PartName="/xl/charts/chart24.xml" ContentType="application/vnd.openxmlformats-officedocument.drawingml.chart+xml"/>
  <Override PartName="/xl/charts/style26.xml" ContentType="application/vnd.ms-office.chartstyle+xml"/>
  <Override PartName="/xl/charts/colors26.xml" ContentType="application/vnd.ms-office.chartcolorstyle+xml"/>
  <Override PartName="/xl/pivotTables/pivotTable13.xml" ContentType="application/vnd.openxmlformats-officedocument.spreadsheetml.pivotTable+xml"/>
  <Override PartName="/xl/drawings/drawing19.xml" ContentType="application/vnd.openxmlformats-officedocument.drawing+xml"/>
  <Override PartName="/xl/charts/chart25.xml" ContentType="application/vnd.openxmlformats-officedocument.drawingml.chart+xml"/>
  <Override PartName="/xl/charts/style27.xml" ContentType="application/vnd.ms-office.chartstyle+xml"/>
  <Override PartName="/xl/charts/colors27.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mc:AlternateContent xmlns:mc="http://schemas.openxmlformats.org/markup-compatibility/2006">
    <mc:Choice Requires="x15">
      <x15ac:absPath xmlns:x15ac="http://schemas.microsoft.com/office/spreadsheetml/2010/11/ac" url="C:\Users\Mahin\Desktop\"/>
    </mc:Choice>
  </mc:AlternateContent>
  <xr:revisionPtr revIDLastSave="0" documentId="13_ncr:1_{746C7269-BC22-412E-B78C-500E0240363F}" xr6:coauthVersionLast="47" xr6:coauthVersionMax="47" xr10:uidLastSave="{00000000-0000-0000-0000-000000000000}"/>
  <bookViews>
    <workbookView xWindow="-120" yWindow="-120" windowWidth="29040" windowHeight="16440" tabRatio="697" activeTab="7" xr2:uid="{3B670F39-4AE8-4F7F-A770-67488E5BFFD0}"/>
  </bookViews>
  <sheets>
    <sheet name="Rev Dashboard" sheetId="13" r:id="rId1"/>
    <sheet name="Profit Dashboard" sheetId="29" r:id="rId2"/>
    <sheet name="Advanced formulas &amp; Slicers" sheetId="7" r:id="rId3"/>
    <sheet name="Dynamic Search 1" sheetId="36" r:id="rId4"/>
    <sheet name="Dynamic Search 2" sheetId="37" r:id="rId5"/>
    <sheet name="DS2 Data" sheetId="38" r:id="rId6"/>
    <sheet name="Dynamic drop down &amp; LOOOKUPS" sheetId="12" r:id="rId7"/>
    <sheet name="VBA" sheetId="10" r:id="rId8"/>
    <sheet name="Pivot Table" sheetId="2" r:id="rId9"/>
    <sheet name="Charts with Slicers" sheetId="3" r:id="rId10"/>
    <sheet name="Conditional Formating" sheetId="14" r:id="rId11"/>
    <sheet name="Table 1" sheetId="1" r:id="rId12"/>
    <sheet name="Dashboard Data" sheetId="16" r:id="rId13"/>
    <sheet name="Year-wise Revenue" sheetId="20" r:id="rId14"/>
    <sheet name="Year-wise Revenue &amp; Cost" sheetId="21" r:id="rId15"/>
    <sheet name="Revenue by Divisions" sheetId="22" r:id="rId16"/>
    <sheet name="Revenue by Products" sheetId="23" r:id="rId17"/>
    <sheet name="Year-wise Divisional Revenue" sheetId="24" r:id="rId18"/>
    <sheet name="Division-wise yearly Revenue" sheetId="25" r:id="rId19"/>
    <sheet name="Revenue by Payment Method" sheetId="26" r:id="rId20"/>
    <sheet name="Profit By Year" sheetId="27" r:id="rId21"/>
    <sheet name="Profit by Division" sheetId="28" r:id="rId22"/>
    <sheet name="Year-wise Revenue &amp; Profit" sheetId="30" r:id="rId23"/>
    <sheet name="Profit by Order Method " sheetId="31" r:id="rId24"/>
    <sheet name="Profit by Product" sheetId="33" r:id="rId25"/>
    <sheet name="Sheet4" sheetId="4" state="hidden" r:id="rId26"/>
  </sheets>
  <definedNames>
    <definedName name="_xlchart.v5.0" hidden="1">'Profit by Division'!$A$3</definedName>
    <definedName name="_xlchart.v5.1" hidden="1">'Profit by Division'!$A$4:$A$11</definedName>
    <definedName name="_xlchart.v5.2" hidden="1">'Profit by Division'!$B$3</definedName>
    <definedName name="_xlchart.v5.3" hidden="1">'Profit by Division'!$B$4:$B$11</definedName>
    <definedName name="_xlchart.v5.4" hidden="1">'Profit by Division'!$A$3</definedName>
    <definedName name="_xlchart.v5.5" hidden="1">'Profit by Division'!$A$4:$A$11</definedName>
    <definedName name="_xlchart.v5.6" hidden="1">'Profit by Division'!$B$3</definedName>
    <definedName name="_xlchart.v5.7" hidden="1">'Profit by Division'!$B$4:$B$11</definedName>
    <definedName name="Amount">'DS2 Data'!$F$2:$F$41</definedName>
    <definedName name="Customer_ID">'DS2 Data'!$A$2:$A$41</definedName>
    <definedName name="Name">'DS2 Data'!$B$2:$B$41</definedName>
    <definedName name="Product">'DS2 Data'!$C$2:$C$41</definedName>
    <definedName name="Product_ID">'DS2 Data'!$D$2:$D$41</definedName>
    <definedName name="Purchase_Date">'DS2 Data'!$E$2:$E$41</definedName>
    <definedName name="Slicer_Car">#N/A</definedName>
    <definedName name="Slicer_Division">#N/A</definedName>
    <definedName name="Slicer_Division1">#N/A</definedName>
    <definedName name="Slicer_Order_Method">#N/A</definedName>
    <definedName name="Slicer_Order_Method1">#N/A</definedName>
    <definedName name="Slicer_Payment_Method">#N/A</definedName>
    <definedName name="Slicer_Product_Type">#N/A</definedName>
    <definedName name="Slicer_Product_Type1">#N/A</definedName>
    <definedName name="Slicer_Q3">#N/A</definedName>
    <definedName name="Slicer_Sales_Rep">#N/A</definedName>
    <definedName name="Slicer_Type">#N/A</definedName>
    <definedName name="Slicer_Year">#N/A</definedName>
    <definedName name="Slicer_Year1">#N/A</definedName>
    <definedName name="Slicer_Year2">#N/A</definedName>
  </definedNames>
  <calcPr calcId="191029"/>
  <pivotCaches>
    <pivotCache cacheId="16" r:id="rId27"/>
    <pivotCache cacheId="17" r:id="rId28"/>
  </pivotCaches>
  <extLst>
    <ext xmlns:x14="http://schemas.microsoft.com/office/spreadsheetml/2009/9/main" uri="{BBE1A952-AA13-448e-AADC-164F8A28A991}">
      <x14:slicerCaches>
        <x14:slicerCache r:id="rId29"/>
        <x14:slicerCache r:id="rId30"/>
        <x14:slicerCache r:id="rId31"/>
        <x14:slicerCache r:id="rId32"/>
        <x14:slicerCache r:id="rId33"/>
        <x14:slicerCache r:id="rId34"/>
        <x14:slicerCache r:id="rId35"/>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40"/>
        <x14:slicerCache r:id="rId41"/>
        <x14:slicerCache r:id="rId4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3" i="12" l="1"/>
  <c r="J2" i="12"/>
  <c r="E7" i="37" a="1"/>
  <c r="E7" i="37" s="1"/>
  <c r="S4" i="7" a="1"/>
  <c r="S4" i="7" s="1"/>
  <c r="I3"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2" i="7"/>
  <c r="S2" i="7"/>
  <c r="H7" i="37" l="1"/>
  <c r="I7" i="37"/>
  <c r="G7" i="37"/>
  <c r="F7" i="37"/>
  <c r="J7" i="37"/>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<sst xmlns="http://schemas.openxmlformats.org/spreadsheetml/2006/main" count="2976" uniqueCount="209">
  <si>
    <t>Year</t>
  </si>
  <si>
    <t>Car</t>
  </si>
  <si>
    <t>Type</t>
  </si>
  <si>
    <t>Quantity</t>
  </si>
  <si>
    <t>Price</t>
  </si>
  <si>
    <t>Suzuki</t>
  </si>
  <si>
    <t>Coupe</t>
  </si>
  <si>
    <t>Hyundai</t>
  </si>
  <si>
    <t>Hatch-Back</t>
  </si>
  <si>
    <t>Nissan</t>
  </si>
  <si>
    <t>Cruiser</t>
  </si>
  <si>
    <t>BMW</t>
  </si>
  <si>
    <t>GT</t>
  </si>
  <si>
    <t>Ford</t>
  </si>
  <si>
    <t>SUV</t>
  </si>
  <si>
    <t>Ferrari</t>
  </si>
  <si>
    <t>Sports</t>
  </si>
  <si>
    <t>Mercedes</t>
  </si>
  <si>
    <t>Lamborghini</t>
  </si>
  <si>
    <t>Row Labels</t>
  </si>
  <si>
    <t>Grand Total</t>
  </si>
  <si>
    <t>Count of Type</t>
  </si>
  <si>
    <t>Sum of Quantity</t>
  </si>
  <si>
    <t>Sum of Price</t>
  </si>
  <si>
    <t>Customer ID</t>
  </si>
  <si>
    <t>Purchase date</t>
  </si>
  <si>
    <t>Product ID</t>
  </si>
  <si>
    <t>Unit Price</t>
  </si>
  <si>
    <t>Total Price</t>
  </si>
  <si>
    <t>Sales Rep</t>
  </si>
  <si>
    <t>Payment Method</t>
  </si>
  <si>
    <t>C001</t>
  </si>
  <si>
    <t>P101</t>
  </si>
  <si>
    <t>John Smith</t>
  </si>
  <si>
    <t>Credit Card</t>
  </si>
  <si>
    <t>C002</t>
  </si>
  <si>
    <t>P103</t>
  </si>
  <si>
    <t>Emily Davis</t>
  </si>
  <si>
    <t>PayPal</t>
  </si>
  <si>
    <t>C003</t>
  </si>
  <si>
    <t>P104</t>
  </si>
  <si>
    <t>David Lee</t>
  </si>
  <si>
    <t>Debit Card</t>
  </si>
  <si>
    <t>C004</t>
  </si>
  <si>
    <t>Susan Miller</t>
  </si>
  <si>
    <t>Cash</t>
  </si>
  <si>
    <t>C005</t>
  </si>
  <si>
    <t>P102</t>
  </si>
  <si>
    <t>C006</t>
  </si>
  <si>
    <t>P105</t>
  </si>
  <si>
    <t>C007</t>
  </si>
  <si>
    <t>P106</t>
  </si>
  <si>
    <t>C008</t>
  </si>
  <si>
    <t>C009</t>
  </si>
  <si>
    <t>C010</t>
  </si>
  <si>
    <t>P107</t>
  </si>
  <si>
    <t>C011</t>
  </si>
  <si>
    <t>P108</t>
  </si>
  <si>
    <t>C012</t>
  </si>
  <si>
    <t>C013</t>
  </si>
  <si>
    <t>P109</t>
  </si>
  <si>
    <t>C014</t>
  </si>
  <si>
    <t>P110</t>
  </si>
  <si>
    <t>C015</t>
  </si>
  <si>
    <t>C016</t>
  </si>
  <si>
    <t>C017</t>
  </si>
  <si>
    <t>C018</t>
  </si>
  <si>
    <t>C019</t>
  </si>
  <si>
    <t>C020</t>
  </si>
  <si>
    <t>C021</t>
  </si>
  <si>
    <t>C022</t>
  </si>
  <si>
    <t>C023</t>
  </si>
  <si>
    <t>C024</t>
  </si>
  <si>
    <t>C025</t>
  </si>
  <si>
    <t>C026</t>
  </si>
  <si>
    <t>C027</t>
  </si>
  <si>
    <t>C028</t>
  </si>
  <si>
    <t>C029</t>
  </si>
  <si>
    <t>C030</t>
  </si>
  <si>
    <t>C031</t>
  </si>
  <si>
    <t>C032</t>
  </si>
  <si>
    <t>C033</t>
  </si>
  <si>
    <t>C034</t>
  </si>
  <si>
    <t>C035</t>
  </si>
  <si>
    <t>C036</t>
  </si>
  <si>
    <t>C037</t>
  </si>
  <si>
    <t>C038</t>
  </si>
  <si>
    <t>C039</t>
  </si>
  <si>
    <t>C040</t>
  </si>
  <si>
    <t>Question</t>
  </si>
  <si>
    <t>Answer</t>
  </si>
  <si>
    <t>Metrics</t>
  </si>
  <si>
    <t>Advanced excel formulas</t>
  </si>
  <si>
    <t>Write a formula to calculate the number of unique customers who purchased products with a Product ID greater than 105, less than 110, and with purchase date after 10 th March 2024</t>
  </si>
  <si>
    <t>Quantity for discount: Cash</t>
  </si>
  <si>
    <t>Quantity for discount: Other</t>
  </si>
  <si>
    <t>Smith</t>
  </si>
  <si>
    <t>Davis</t>
  </si>
  <si>
    <t>Lee</t>
  </si>
  <si>
    <t>Miller</t>
  </si>
  <si>
    <t>Data table 2</t>
  </si>
  <si>
    <t>Check Column I</t>
  </si>
  <si>
    <t>Write a formula to calculate the total quantity sold by Miller in first 10 days of March 2024 using the payment method 'Cash'</t>
  </si>
  <si>
    <t>Name</t>
  </si>
  <si>
    <t>Blood Group</t>
  </si>
  <si>
    <t>Age</t>
  </si>
  <si>
    <t>Mahin</t>
  </si>
  <si>
    <t>O+</t>
  </si>
  <si>
    <t>Number</t>
  </si>
  <si>
    <t>Nabil</t>
  </si>
  <si>
    <t>B+</t>
  </si>
  <si>
    <t>Q3(Eligibility)</t>
  </si>
  <si>
    <t>Product</t>
  </si>
  <si>
    <t>Purchase Date</t>
  </si>
  <si>
    <t>Amount</t>
  </si>
  <si>
    <t>Laptop</t>
  </si>
  <si>
    <t>Phone</t>
  </si>
  <si>
    <t>Monitor</t>
  </si>
  <si>
    <t>Keyboard</t>
  </si>
  <si>
    <t>Tablet</t>
  </si>
  <si>
    <t>Ella</t>
  </si>
  <si>
    <t>Alice</t>
  </si>
  <si>
    <t>Bob</t>
  </si>
  <si>
    <t>Clara</t>
  </si>
  <si>
    <t>David</t>
  </si>
  <si>
    <t>Frank</t>
  </si>
  <si>
    <t>Grace</t>
  </si>
  <si>
    <t>Harry</t>
  </si>
  <si>
    <t>Ivy</t>
  </si>
  <si>
    <t>Jake</t>
  </si>
  <si>
    <t>Kate</t>
  </si>
  <si>
    <t>Liam</t>
  </si>
  <si>
    <t>Maya</t>
  </si>
  <si>
    <t>Noah</t>
  </si>
  <si>
    <t>Olivia</t>
  </si>
  <si>
    <t>Paul</t>
  </si>
  <si>
    <t>Quinn</t>
  </si>
  <si>
    <t>Rita</t>
  </si>
  <si>
    <t>Steve</t>
  </si>
  <si>
    <t>Tina</t>
  </si>
  <si>
    <t>Uma</t>
  </si>
  <si>
    <t>Victor</t>
  </si>
  <si>
    <t>Wendy</t>
  </si>
  <si>
    <t>Xavier</t>
  </si>
  <si>
    <t>Yara</t>
  </si>
  <si>
    <t>Zack</t>
  </si>
  <si>
    <t>Anna</t>
  </si>
  <si>
    <t>Brian</t>
  </si>
  <si>
    <t>Cara</t>
  </si>
  <si>
    <t>Dean</t>
  </si>
  <si>
    <t>Eva</t>
  </si>
  <si>
    <t>Finn</t>
  </si>
  <si>
    <t>Gina</t>
  </si>
  <si>
    <t>Hank</t>
  </si>
  <si>
    <t>Irene</t>
  </si>
  <si>
    <t>Josh</t>
  </si>
  <si>
    <t>Karen</t>
  </si>
  <si>
    <t>Leo</t>
  </si>
  <si>
    <t>Mila</t>
  </si>
  <si>
    <t>Nate</t>
  </si>
  <si>
    <t>VLOOKUP</t>
  </si>
  <si>
    <t>XLOOKUP</t>
  </si>
  <si>
    <t>Team Name</t>
  </si>
  <si>
    <t>Alpha Squad</t>
  </si>
  <si>
    <t>Bravo Team</t>
  </si>
  <si>
    <t>Charlie Crew</t>
  </si>
  <si>
    <t>Delta Force</t>
  </si>
  <si>
    <t>Echo Unit</t>
  </si>
  <si>
    <t>Falcon Group</t>
  </si>
  <si>
    <t>Gamma Gang</t>
  </si>
  <si>
    <t>Hawk Division</t>
  </si>
  <si>
    <t>Inferno Team</t>
  </si>
  <si>
    <t>Jaguar Pack</t>
  </si>
  <si>
    <t>Kilo Kings</t>
  </si>
  <si>
    <t>Lion Pride</t>
  </si>
  <si>
    <t>Maverick Mob</t>
  </si>
  <si>
    <t>Nova Strike</t>
  </si>
  <si>
    <t>Omega Force</t>
  </si>
  <si>
    <t>Progress</t>
  </si>
  <si>
    <t>Profit (BDT Cr)</t>
  </si>
  <si>
    <t>Revenue (BDT Cr)</t>
  </si>
  <si>
    <t>Smartphones</t>
  </si>
  <si>
    <t>TVs</t>
  </si>
  <si>
    <t>Division</t>
  </si>
  <si>
    <t>Product Type</t>
  </si>
  <si>
    <t>Order Method</t>
  </si>
  <si>
    <t>Cost (BDT Cr)</t>
  </si>
  <si>
    <t>Dhaka</t>
  </si>
  <si>
    <t>Online</t>
  </si>
  <si>
    <t>Chattogram</t>
  </si>
  <si>
    <t>Offline</t>
  </si>
  <si>
    <t>Khulna</t>
  </si>
  <si>
    <t>Barisal</t>
  </si>
  <si>
    <t>Rajshahi</t>
  </si>
  <si>
    <t>Rangpur</t>
  </si>
  <si>
    <t>Mymensingh</t>
  </si>
  <si>
    <t>Sylhet</t>
  </si>
  <si>
    <t>Refrigerators</t>
  </si>
  <si>
    <t>Washing Machines</t>
  </si>
  <si>
    <t>ACs</t>
  </si>
  <si>
    <t>Monitors</t>
  </si>
  <si>
    <t>Tablets</t>
  </si>
  <si>
    <t>Wearables</t>
  </si>
  <si>
    <t>Sum of Revenue (BDT Cr)</t>
  </si>
  <si>
    <t>Sum of Cost (BDT Cr)</t>
  </si>
  <si>
    <t>Column Labels</t>
  </si>
  <si>
    <t>Sum of Profit (BDT Cr)</t>
  </si>
  <si>
    <t>Customers can avail discount on their order if they purchase the minimum quantity of certain products, criterias are given in Data Table2. Print Yes or No in  column I to indicate theiir eligibility.</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</si>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</sst>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sz val="10"/>
      <color rgb="FF000000"/>
      <name val="Arial"/>
      <family val="2"/>
    </font>
    <font>
      <b/>
      <sz val="11"/>
      <color theme="0"/>
      <name val="Aptos Narrow"/>
      <family val="2"/>
      <scheme val="minor"/>
    </font>
    <font>
      <b/>
      <sz val="11"/>
      <color theme="1"/>
      <name val="Aptos Narrow"/>
      <family val="2"/>
      <scheme val="minor"/>
    </font>
    <font>
      <sz val="11"/>
      <color theme="0"/>
      <name val="Aptos Narrow"/>
      <family val="2"/>
      <scheme val="minor"/>
    </font>
    <font>
      <sz val="10"/>
      <color rgb="FF242424"/>
      <name val="Open Sans"/>
      <family val="2"/>
    </font>
    <font>
      <sz val="10"/>
      <color rgb="FF434343"/>
      <name val="Open Sans"/>
      <family val="2"/>
    </font>
    <font>
      <b/>
      <sz val="11"/>
      <name val="Aptos Display"/>
      <family val="2"/>
      <scheme val="major"/>
    </font>
    <font>
      <sz val="11"/>
      <color theme="1"/>
      <name val="Aptos Display"/>
      <family val="2"/>
      <scheme val="major"/>
    </font>
    <font>
      <b/>
      <sz val="11"/>
      <color theme="0"/>
      <name val="Aptos Display"/>
      <family val="2"/>
      <scheme val="major"/>
    </font>
    <font>
      <b/>
      <sz val="11"/>
      <name val="Calibri"/>
      <family val="2"/>
    </font>
    <font>
      <sz val="11"/>
      <color rgb="FF000000"/>
      <name val="Aptos Narrow"/>
      <family val="2"/>
    </font>
  </fonts>
  <fills count="7">
    <fill>
      <patternFill patternType="none"/>
    </fill>
    <fill>
      <patternFill patternType="gray125"/>
    </fill>
    <fill>
      <patternFill patternType="solid">
        <fgColor theme="0" tint="-0.14999847407452621"/>
        <bgColor indexed="64"/>
      </patternFill>
    </fill>
    <fill>
      <patternFill patternType="solid">
        <fgColor theme="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39997558519241921"/>
        <bgColor indexed="64"/>
      </patternFill>
    </fill>
  </fills>
  <borders count="14">
    <border>
      <left/>
      <right/>
      <top/>
      <bottom/>
      <diagonal/>
    </border>
    <border>
      <left style="thin">
        <color rgb="FF000000"/>
      </left>
      <right style="thin">
        <color rgb="FFCCCCCC"/>
      </right>
      <top style="thin">
        <color rgb="FF000000"/>
      </top>
      <bottom style="thin">
        <color rgb="FFCCCCCC"/>
      </bottom>
      <diagonal/>
    </border>
    <border>
      <left style="thin">
        <color rgb="FFCCCCCC"/>
      </left>
      <right style="thin">
        <color rgb="FFCCCCCC"/>
      </right>
      <top style="thin">
        <color rgb="FF000000"/>
      </top>
      <bottom style="thin">
        <color rgb="FFCCCCCC"/>
      </bottom>
      <diagonal/>
    </border>
    <border>
      <left style="thin">
        <color rgb="FFCCCCCC"/>
      </left>
      <right style="thin">
        <color rgb="FF000000"/>
      </right>
      <top style="thin">
        <color rgb="FF000000"/>
      </top>
      <bottom style="thin">
        <color rgb="FFCCCCCC"/>
      </bottom>
      <diagonal/>
    </border>
    <border>
      <left style="thin">
        <color rgb="FF000000"/>
      </left>
      <right style="thin">
        <color rgb="FFCCCCCC"/>
      </right>
      <top style="thin">
        <color rgb="FFCCCCCC"/>
      </top>
      <bottom style="thin">
        <color rgb="FFCCCCCC"/>
      </bottom>
      <diagonal/>
    </border>
    <border>
      <left style="thin">
        <color rgb="FFCCCCCC"/>
      </left>
      <right style="thin">
        <color rgb="FFCCCCCC"/>
      </right>
      <top style="thin">
        <color rgb="FFCCCCCC"/>
      </top>
      <bottom style="thin">
        <color rgb="FFCCCCCC"/>
      </bottom>
      <diagonal/>
    </border>
    <border>
      <left style="thin">
        <color rgb="FFCCCCCC"/>
      </left>
      <right style="thin">
        <color rgb="FF000000"/>
      </right>
      <top style="thin">
        <color rgb="FFCCCCCC"/>
      </top>
      <bottom style="thin">
        <color rgb="FFCCCCCC"/>
      </bottom>
      <diagonal/>
    </border>
    <border>
      <left style="thin">
        <color rgb="FF000000"/>
      </left>
      <right style="thin">
        <color rgb="FFCCCCCC"/>
      </right>
      <top style="thin">
        <color rgb="FFCCCCCC"/>
      </top>
      <bottom style="thin">
        <color rgb="FF000000"/>
      </bottom>
      <diagonal/>
    </border>
    <border>
      <left style="thin">
        <color rgb="FFCCCCCC"/>
      </left>
      <right style="thin">
        <color rgb="FFCCCCCC"/>
      </right>
      <top style="thin">
        <color rgb="FFCCCCCC"/>
      </top>
      <bottom style="thin">
        <color rgb="FF000000"/>
      </bottom>
      <diagonal/>
    </border>
    <border>
      <left style="thin">
        <color rgb="FFCCCCCC"/>
      </left>
      <right style="thin">
        <color rgb="FF000000"/>
      </right>
      <top style="thin">
        <color rgb="FFCCCCCC"/>
      </top>
      <bottom style="thin">
        <color rgb="FF000000"/>
      </bottom>
      <diagonal/>
    </border>
    <border>
      <left style="thin">
        <color indexed="64"/>
      </left>
      <right style="thin">
        <color indexed="64"/>
      </right>
      <top style="thin">
        <color indexed="64"/>
      </top>
      <bottom style="thin">
        <color indexed="64"/>
      </bottom>
      <diagonal/>
    </border>
    <border>
      <left style="thin">
        <color theme="5"/>
      </left>
      <right/>
      <top style="thin">
        <color theme="5"/>
      </top>
      <bottom/>
      <diagonal/>
    </border>
    <border>
      <left/>
      <right/>
      <top style="thin">
        <color theme="5"/>
      </top>
      <bottom/>
      <diagonal/>
    </border>
    <border>
      <left/>
      <right style="thin">
        <color theme="5"/>
      </right>
      <top style="thin">
        <color theme="5"/>
      </top>
      <bottom/>
      <diagonal/>
    </border>
  </borders>
  <cellStyleXfs count="1">
    <xf numFmtId="0" fontId="0" fillId="0" borderId="0"/>
  </cellStyleXfs>
  <cellXfs count="55">
    <xf numFmtId="0" fontId="0" fillId="0" borderId="0" xfId="0"/>
    <xf numFmtId="0" fontId="1" fillId="0" borderId="1" xfId="0" applyFont="1" applyBorder="1" applyAlignment="1">
      <alignment readingOrder="1"/>
    </xf>
    <xf numFmtId="0" fontId="1" fillId="0" borderId="2" xfId="0" applyFont="1" applyBorder="1" applyAlignment="1">
      <alignment readingOrder="1"/>
    </xf>
    <xf numFmtId="0" fontId="1" fillId="0" borderId="3" xfId="0" applyFont="1" applyBorder="1" applyAlignment="1">
      <alignment readingOrder="1"/>
    </xf>
    <xf numFmtId="0" fontId="1" fillId="0" borderId="4" xfId="0" applyFont="1" applyBorder="1" applyAlignment="1">
      <alignment readingOrder="1"/>
    </xf>
    <xf numFmtId="0" fontId="1" fillId="0" borderId="5" xfId="0" applyFont="1" applyBorder="1" applyAlignment="1">
      <alignment readingOrder="1"/>
    </xf>
    <xf numFmtId="0" fontId="1" fillId="0" borderId="6" xfId="0" applyFont="1" applyBorder="1" applyAlignment="1">
      <alignment readingOrder="1"/>
    </xf>
    <xf numFmtId="0" fontId="1" fillId="0" borderId="7" xfId="0" applyFont="1" applyBorder="1" applyAlignment="1">
      <alignment readingOrder="1"/>
    </xf>
    <xf numFmtId="0" fontId="1" fillId="0" borderId="8" xfId="0" applyFont="1" applyBorder="1" applyAlignment="1">
      <alignment readingOrder="1"/>
    </xf>
    <xf numFmtId="0" fontId="1" fillId="0" borderId="9" xfId="0" applyFont="1" applyBorder="1" applyAlignment="1">
      <alignment readingOrder="1"/>
    </xf>
    <xf numFmtId="0" fontId="0" fillId="0" borderId="0" xfId="0" pivotButton="1"/>
    <xf numFmtId="0" fontId="0" fillId="0" borderId="0" xfId="0" applyAlignment="1">
      <alignment horizontal="left"/>
    </xf>
    <xf numFmtId="0" fontId="0" fillId="0" borderId="0" xfId="0" applyAlignment="1">
      <alignment horizontal="left" indent="1"/>
    </xf>
    <xf numFmtId="14" fontId="0" fillId="0" borderId="0" xfId="0" applyNumberFormat="1"/>
    <xf numFmtId="0" fontId="0" fillId="0" borderId="0" xfId="0" applyAlignment="1">
      <alignment horizontal="center"/>
    </xf>
    <xf numFmtId="14" fontId="0" fillId="0" borderId="0" xfId="0" applyNumberFormat="1" applyAlignment="1">
      <alignment horizontal="center"/>
    </xf>
    <xf numFmtId="0" fontId="0" fillId="2" borderId="0" xfId="0" applyFill="1" applyAlignment="1">
      <alignment horizontal="center"/>
    </xf>
    <xf numFmtId="0" fontId="4" fillId="3" borderId="0" xfId="0" applyFont="1" applyFill="1" applyAlignment="1">
      <alignment horizontal="center"/>
    </xf>
    <xf numFmtId="0" fontId="0" fillId="0" borderId="0" xfId="0" applyAlignment="1">
      <alignment horizontal="center" wrapText="1"/>
    </xf>
    <xf numFmtId="0" fontId="6" fillId="0" borderId="0" xfId="0" applyFont="1" applyAlignment="1">
      <alignment vertical="top" wrapText="1"/>
    </xf>
    <xf numFmtId="0" fontId="0" fillId="0" borderId="0" xfId="0" applyAlignment="1">
      <alignment vertical="top" wrapText="1"/>
    </xf>
    <xf numFmtId="0" fontId="0" fillId="0" borderId="10" xfId="0" applyBorder="1" applyAlignment="1">
      <alignment horizontal="center"/>
    </xf>
    <xf numFmtId="0" fontId="0" fillId="0" borderId="10" xfId="0" applyBorder="1" applyAlignment="1">
      <alignment horizontal="center" wrapText="1"/>
    </xf>
    <xf numFmtId="0" fontId="0" fillId="0" borderId="0" xfId="0" applyAlignment="1">
      <alignment horizontal="center" vertical="center"/>
    </xf>
    <xf numFmtId="0" fontId="2" fillId="3" borderId="10" xfId="0" applyFont="1" applyFill="1" applyBorder="1" applyAlignment="1">
      <alignment horizontal="center"/>
    </xf>
    <xf numFmtId="0" fontId="2" fillId="3" borderId="0" xfId="0" applyFont="1" applyFill="1"/>
    <xf numFmtId="0" fontId="3" fillId="0" borderId="10" xfId="0" applyFont="1" applyBorder="1"/>
    <xf numFmtId="0" fontId="7" fillId="4" borderId="0" xfId="0" applyFont="1" applyFill="1" applyAlignment="1">
      <alignment horizontal="center" vertical="center"/>
    </xf>
    <xf numFmtId="0" fontId="7" fillId="4" borderId="0" xfId="0" applyFont="1" applyFill="1" applyAlignment="1">
      <alignment horizontal="left" vertical="center"/>
    </xf>
    <xf numFmtId="0" fontId="8" fillId="0" borderId="0" xfId="0" applyFont="1"/>
    <xf numFmtId="0" fontId="8" fillId="0" borderId="0" xfId="0" applyFont="1" applyAlignment="1">
      <alignment horizontal="center" vertical="center"/>
    </xf>
    <xf numFmtId="9" fontId="9" fillId="0" borderId="0" xfId="0" applyNumberFormat="1" applyFont="1" applyAlignment="1">
      <alignment horizontal="left" vertical="center"/>
    </xf>
    <xf numFmtId="0" fontId="9" fillId="0" borderId="0" xfId="0" applyFont="1" applyAlignment="1">
      <alignment horizontal="left" vertical="center"/>
    </xf>
    <xf numFmtId="0" fontId="10" fillId="0" borderId="0" xfId="0" applyFont="1"/>
    <xf numFmtId="0" fontId="0" fillId="0" borderId="0" xfId="0" pivotButton="1" applyAlignment="1">
      <alignment horizontal="right"/>
    </xf>
    <xf numFmtId="0" fontId="0" fillId="0" borderId="0" xfId="0" applyAlignment="1">
      <alignment horizontal="right"/>
    </xf>
    <xf numFmtId="0" fontId="3" fillId="5" borderId="10" xfId="0" applyFont="1" applyFill="1" applyBorder="1"/>
    <xf numFmtId="0" fontId="0" fillId="0" borderId="10" xfId="0" applyBorder="1"/>
    <xf numFmtId="14" fontId="0" fillId="0" borderId="10" xfId="0" applyNumberFormat="1" applyBorder="1"/>
    <xf numFmtId="0" fontId="0" fillId="6" borderId="0" xfId="0" applyFill="1"/>
    <xf numFmtId="0" fontId="2" fillId="6" borderId="11" xfId="0" applyFont="1" applyFill="1" applyBorder="1"/>
    <xf numFmtId="0" fontId="2" fillId="6" borderId="12" xfId="0" applyFont="1" applyFill="1" applyBorder="1"/>
    <xf numFmtId="0" fontId="2" fillId="6" borderId="13" xfId="0" applyFont="1" applyFill="1" applyBorder="1"/>
    <xf numFmtId="0" fontId="4" fillId="0" borderId="0" xfId="0" applyFont="1"/>
    <xf numFmtId="0" fontId="2" fillId="3" borderId="10" xfId="0" applyFont="1" applyFill="1" applyBorder="1" applyAlignment="1">
      <alignment horizontal="center"/>
    </xf>
    <xf numFmtId="0" fontId="0" fillId="0" borderId="10" xfId="0" applyBorder="1" applyAlignment="1">
      <alignment horizontal="center" vertical="center"/>
    </xf>
    <xf numFmtId="0" fontId="5" fillId="0" borderId="10" xfId="0" applyFont="1" applyBorder="1" applyAlignment="1">
      <alignment horizontal="left" wrapText="1"/>
    </xf>
    <xf numFmtId="0" fontId="0" fillId="0" borderId="10" xfId="0" applyBorder="1" applyAlignment="1">
      <alignment horizontal="center" vertical="top" wrapText="1"/>
    </xf>
    <xf numFmtId="0" fontId="4" fillId="3" borderId="10" xfId="0" applyFont="1" applyFill="1" applyBorder="1" applyAlignment="1">
      <alignment horizontal="center"/>
    </xf>
    <xf numFmtId="0" fontId="6" fillId="0" borderId="10" xfId="0" applyFont="1" applyBorder="1" applyAlignment="1">
      <alignment horizontal="left" vertical="top" wrapText="1"/>
    </xf>
    <xf numFmtId="0" fontId="5" fillId="0" borderId="10" xfId="0" applyFont="1" applyBorder="1" applyAlignment="1">
      <alignment horizontal="left" vertical="center" wrapText="1"/>
    </xf>
    <xf numFmtId="0" fontId="5" fillId="0" borderId="10" xfId="0" applyFont="1" applyBorder="1" applyAlignment="1">
      <alignment horizontal="center" vertical="center" wrapText="1"/>
    </xf>
    <xf numFmtId="0" fontId="0" fillId="0" borderId="10" xfId="0" applyBorder="1" applyAlignment="1">
      <alignment horizontal="left" vertical="center"/>
    </xf>
    <xf numFmtId="0" fontId="3" fillId="0" borderId="10" xfId="0" applyFont="1" applyBorder="1" applyAlignment="1">
      <alignment horizontal="left" vertical="center"/>
    </xf>
    <xf numFmtId="0" fontId="0" fillId="0" borderId="0" xfId="0" applyAlignment="1">
      <alignment horizontal="center" vertical="center"/>
    </xf>
  </cellXfs>
  <cellStyles count="1">
    <cellStyle name="Normal" xfId="0" builtinId="0"/>
  </cellStyles>
  <dxfs count="35">
    <dxf>
      <alignment horizontal="right"/>
    </dxf>
    <dxf>
      <alignment horizontal="right"/>
    </dxf>
    <dxf>
      <alignment horizontal="righ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19" formatCode="m/d/yyyy"/>
    </dxf>
    <dxf>
      <fill>
        <patternFill patternType="solid">
          <fgColor indexed="64"/>
          <bgColor theme="5" tint="0.3999755851924192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border>
        <left style="thin">
          <color theme="5"/>
        </left>
        <right style="thin">
          <color theme="5"/>
        </right>
        <top style="thin">
          <color theme="5"/>
        </top>
        <bottom style="thin">
          <color theme="5"/>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m/d/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0" tint="-0.14999847407452621"/>
        </patternFill>
      </fill>
      <alignment horizontal="center" vertical="bottom" textRotation="0" wrapText="0" indent="0" justifyLastLine="0" shrinkToFit="0" readingOrder="0"/>
    </dxf>
    <dxf>
      <fill>
        <patternFill>
          <bgColor rgb="FFFFC7CE"/>
        </patternFill>
      </fill>
    </dxf>
    <dxf>
      <fill>
        <patternFill>
          <bgColor theme="9" tint="0.59996337778862885"/>
        </patternFill>
      </fill>
    </dxf>
    <dxf>
      <fill>
        <patternFill>
          <bgColor rgb="FFFF9900"/>
        </patternFill>
      </fill>
    </dxf>
    <dxf>
      <fill>
        <patternFill>
          <bgColor rgb="FFFF0000"/>
        </patternFill>
      </fill>
    </dxf>
    <dxf>
      <fill>
        <patternFill>
          <bgColor rgb="FFFF4343"/>
        </patternFill>
      </fill>
    </dxf>
    <dxf>
      <font>
        <color rgb="FF9C0006"/>
      </font>
      <fill>
        <patternFill>
          <bgColor rgb="FFFFC7CE"/>
        </patternFill>
      </fill>
    </dxf>
  </dxfs>
  <tableStyles count="0" defaultTableStyle="TableStyleMedium2" defaultPivotStyle="PivotStyleLight16"/>
  <colors>
    <mruColors>
      <color rgb="FFFF9900"/>
      <color rgb="FFFFFFFF"/>
      <color rgb="FFFF4343"/>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1.xml"/><Relationship Id="rId21" Type="http://schemas.openxmlformats.org/officeDocument/2006/relationships/worksheet" Target="worksheets/sheet21.xml"/><Relationship Id="rId34" Type="http://schemas.microsoft.com/office/2007/relationships/slicerCache" Target="slicerCaches/slicerCache6.xml"/><Relationship Id="rId42" Type="http://schemas.microsoft.com/office/2007/relationships/slicerCache" Target="slicerCaches/slicerCache14.xml"/><Relationship Id="rId47"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7/relationships/slicerCache" Target="slicerCaches/slicerCache4.xml"/><Relationship Id="rId37" Type="http://schemas.microsoft.com/office/2007/relationships/slicerCache" Target="slicerCaches/slicerCache9.xml"/><Relationship Id="rId40" Type="http://schemas.microsoft.com/office/2007/relationships/slicerCache" Target="slicerCaches/slicerCache12.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microsoft.com/office/2007/relationships/slicerCache" Target="slicerCaches/slicerCache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3.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2.xml"/><Relationship Id="rId35" Type="http://schemas.microsoft.com/office/2007/relationships/slicerCache" Target="slicerCaches/slicerCache7.xml"/><Relationship Id="rId43" Type="http://schemas.openxmlformats.org/officeDocument/2006/relationships/theme" Target="theme/theme1.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7/relationships/slicerCache" Target="slicerCaches/slicerCache5.xml"/><Relationship Id="rId38" Type="http://schemas.microsoft.com/office/2007/relationships/slicerCache" Target="slicerCaches/slicerCache10.xml"/><Relationship Id="rId46" Type="http://schemas.openxmlformats.org/officeDocument/2006/relationships/sheetMetadata" Target="metadata.xml"/><Relationship Id="rId20" Type="http://schemas.openxmlformats.org/officeDocument/2006/relationships/worksheet" Target="worksheets/sheet20.xml"/><Relationship Id="rId41" Type="http://schemas.microsoft.com/office/2007/relationships/slicerCache" Target="slicerCaches/slicerCache1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5.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6.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7.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8.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1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0.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1.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2.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3.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5.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Ex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Revenue!PivotTable4</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Revenue'!$B$3</c:f>
              <c:strCache>
                <c:ptCount val="1"/>
                <c:pt idx="0">
                  <c:v>Total</c:v>
                </c:pt>
              </c:strCache>
            </c:strRef>
          </c:tx>
          <c:spPr>
            <a:solidFill>
              <a:schemeClr val="accent1"/>
            </a:solidFill>
            <a:ln>
              <a:noFill/>
            </a:ln>
            <a:effectLst/>
          </c:spPr>
          <c:invertIfNegative val="0"/>
          <c:cat>
            <c:strRef>
              <c:f>'Year-wise Revenue'!$A$4:$A$9</c:f>
              <c:strCache>
                <c:ptCount val="5"/>
                <c:pt idx="0">
                  <c:v>2020</c:v>
                </c:pt>
                <c:pt idx="1">
                  <c:v>2021</c:v>
                </c:pt>
                <c:pt idx="2">
                  <c:v>2022</c:v>
                </c:pt>
                <c:pt idx="3">
                  <c:v>2023</c:v>
                </c:pt>
                <c:pt idx="4">
                  <c:v>2024</c:v>
                </c:pt>
              </c:strCache>
            </c:strRef>
          </c:cat>
          <c:val>
            <c:numRef>
              <c:f>'Year-wise Revenue'!$B$4:$B$9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230C-4BD6-B150-C0BB20EA502A}"/>
            </c:ext>
          </c:extLst>
        </c:ser>
        <c:dLbls>
          <c:showLegendKey val="0"/>
          <c:showVal val="0"/>
          <c:showCatName val="0"/>
          <c:showSerName val="0"/>
          <c:showPercent val="0"/>
          <c:showBubbleSize val="0"/>
        </c:dLbls>
        <c:gapWidth val="219"/>
        <c:overlap val="-27"/>
        <c:axId val="114690384"/>
        <c:axId val="114692304"/>
      </c:barChart>
      <c:catAx>
        <c:axId val="114690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2304"/>
        <c:crosses val="autoZero"/>
        <c:auto val="1"/>
        <c:lblAlgn val="ctr"/>
        <c:lblOffset val="100"/>
        <c:noMultiLvlLbl val="0"/>
      </c:catAx>
      <c:valAx>
        <c:axId val="11469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 &amp; Cost!PivotTable5</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 &amp; Cost</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Cost'!$B$3</c:f>
              <c:strCache>
                <c:ptCount val="1"/>
                <c:pt idx="0">
                  <c:v>Sum of Revenue (BDT Cr)</c:v>
                </c:pt>
              </c:strCache>
            </c:strRef>
          </c:tx>
          <c:spPr>
            <a:solidFill>
              <a:schemeClr val="accent1"/>
            </a:solidFill>
            <a:ln>
              <a:noFill/>
            </a:ln>
            <a:effectLst/>
          </c:spPr>
          <c:invertIfNegative val="0"/>
          <c:cat>
            <c:strRef>
              <c:f>'Year-wise Revenue &amp; Cost'!$A$4:$A$9</c:f>
              <c:strCache>
                <c:ptCount val="5"/>
                <c:pt idx="0">
                  <c:v>2020</c:v>
                </c:pt>
                <c:pt idx="1">
                  <c:v>2021</c:v>
                </c:pt>
                <c:pt idx="2">
                  <c:v>2022</c:v>
                </c:pt>
                <c:pt idx="3">
                  <c:v>2023</c:v>
                </c:pt>
                <c:pt idx="4">
                  <c:v>2024</c:v>
                </c:pt>
              </c:strCache>
            </c:strRef>
          </c:cat>
          <c:val>
            <c:numRef>
              <c:f>'Year-wise Revenue &amp; Cost'!$B$4:$B$9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A822-42E4-BDB1-9FA9E6E30D86}"/>
            </c:ext>
          </c:extLst>
        </c:ser>
        <c:dLbls>
          <c:showLegendKey val="0"/>
          <c:showVal val="0"/>
          <c:showCatName val="0"/>
          <c:showSerName val="0"/>
          <c:showPercent val="0"/>
          <c:showBubbleSize val="0"/>
        </c:dLbls>
        <c:gapWidth val="219"/>
        <c:overlap val="-27"/>
        <c:axId val="114690864"/>
        <c:axId val="114683184"/>
      </c:barChart>
      <c:lineChart>
        <c:grouping val="standard"/>
        <c:varyColors val="0"/>
        <c:ser>
          <c:idx val="1"/>
          <c:order val="1"/>
          <c:tx>
            <c:strRef>
              <c:f>'Year-wise Revenue &amp; Cost'!$C$3</c:f>
              <c:strCache>
                <c:ptCount val="1"/>
                <c:pt idx="0">
                  <c:v>Sum of Cost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Cost'!$A$4:$A$9</c:f>
              <c:strCache>
                <c:ptCount val="5"/>
                <c:pt idx="0">
                  <c:v>2020</c:v>
                </c:pt>
                <c:pt idx="1">
                  <c:v>2021</c:v>
                </c:pt>
                <c:pt idx="2">
                  <c:v>2022</c:v>
                </c:pt>
                <c:pt idx="3">
                  <c:v>2023</c:v>
                </c:pt>
                <c:pt idx="4">
                  <c:v>2024</c:v>
                </c:pt>
              </c:strCache>
            </c:strRef>
          </c:cat>
          <c:val>
            <c:numRef>
              <c:f>'Year-wise Revenue &amp; Cost'!$C$4:$C$9</c:f>
              <c:numCache>
                <c:formatCode>General</c:formatCode>
                <c:ptCount val="5"/>
                <c:pt idx="0">
                  <c:v>19472</c:v>
                </c:pt>
                <c:pt idx="1">
                  <c:v>19727</c:v>
                </c:pt>
                <c:pt idx="2">
                  <c:v>19976</c:v>
                </c:pt>
                <c:pt idx="3">
                  <c:v>19770</c:v>
                </c:pt>
                <c:pt idx="4">
                  <c:v>17667</c:v>
                </c:pt>
              </c:numCache>
            </c:numRef>
          </c:val>
          <c:smooth val="0"/>
          <c:extLst>
            <c:ext xmlns:c16="http://schemas.microsoft.com/office/drawing/2014/chart" uri="{C3380CC4-5D6E-409C-BE32-E72D297353CC}">
              <c16:uniqueId val="{00000001-A822-42E4-BDB1-9FA9E6E30D86}"/>
            </c:ext>
          </c:extLst>
        </c:ser>
        <c:dLbls>
          <c:showLegendKey val="0"/>
          <c:showVal val="0"/>
          <c:showCatName val="0"/>
          <c:showSerName val="0"/>
          <c:showPercent val="0"/>
          <c:showBubbleSize val="0"/>
        </c:dLbls>
        <c:marker val="1"/>
        <c:smooth val="0"/>
        <c:axId val="114691824"/>
        <c:axId val="114684144"/>
      </c:lineChart>
      <c:catAx>
        <c:axId val="11469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83184"/>
        <c:crosses val="autoZero"/>
        <c:auto val="1"/>
        <c:lblAlgn val="ctr"/>
        <c:lblOffset val="100"/>
        <c:noMultiLvlLbl val="0"/>
      </c:catAx>
      <c:valAx>
        <c:axId val="11468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0864"/>
        <c:crosses val="autoZero"/>
        <c:crossBetween val="between"/>
      </c:valAx>
      <c:valAx>
        <c:axId val="1146841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1824"/>
        <c:crosses val="max"/>
        <c:crossBetween val="between"/>
      </c:valAx>
      <c:catAx>
        <c:axId val="114691824"/>
        <c:scaling>
          <c:orientation val="minMax"/>
        </c:scaling>
        <c:delete val="1"/>
        <c:axPos val="b"/>
        <c:numFmt formatCode="General" sourceLinked="1"/>
        <c:majorTickMark val="out"/>
        <c:minorTickMark val="none"/>
        <c:tickLblPos val="nextTo"/>
        <c:crossAx val="11468414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Divisions!PivotTable6</c:name>
    <c:fmtId val="5"/>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r>
              <a:rPr lang="en-US" sz="1400" b="0" i="0" u="none" strike="noStrike" kern="1200" spc="0" baseline="0">
                <a:solidFill>
                  <a:schemeClr val="bg1"/>
                </a:solidFill>
              </a:rPr>
              <a:t>Revenue by Divisions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Divisions'!$B$3</c:f>
              <c:strCache>
                <c:ptCount val="1"/>
                <c:pt idx="0">
                  <c:v>Total</c:v>
                </c:pt>
              </c:strCache>
            </c:strRef>
          </c:tx>
          <c:spPr>
            <a:solidFill>
              <a:schemeClr val="accent1"/>
            </a:solidFill>
            <a:ln>
              <a:noFill/>
            </a:ln>
            <a:effectLst/>
          </c:spPr>
          <c:invertIfNegative val="0"/>
          <c:cat>
            <c:strRef>
              <c:f>'Revenue by Divisions'!$A$4:$A$12</c:f>
              <c:strCache>
                <c:ptCount val="8"/>
                <c:pt idx="0">
                  <c:v>Rangpur</c:v>
                </c:pt>
                <c:pt idx="1">
                  <c:v>Rajshahi</c:v>
                </c:pt>
                <c:pt idx="2">
                  <c:v>Barisal</c:v>
                </c:pt>
                <c:pt idx="3">
                  <c:v>Chattogram</c:v>
                </c:pt>
                <c:pt idx="4">
                  <c:v>Mymensingh</c:v>
                </c:pt>
                <c:pt idx="5">
                  <c:v>Dhaka</c:v>
                </c:pt>
                <c:pt idx="6">
                  <c:v>Khulna</c:v>
                </c:pt>
                <c:pt idx="7">
                  <c:v>Sylhet</c:v>
                </c:pt>
              </c:strCache>
            </c:strRef>
          </c:cat>
          <c:val>
            <c:numRef>
              <c:f>'Revenue by Divisions'!$B$4:$B$12</c:f>
              <c:numCache>
                <c:formatCode>General</c:formatCode>
                <c:ptCount val="8"/>
                <c:pt idx="0">
                  <c:v>17426</c:v>
                </c:pt>
                <c:pt idx="1">
                  <c:v>17261</c:v>
                </c:pt>
                <c:pt idx="2">
                  <c:v>17101</c:v>
                </c:pt>
                <c:pt idx="3">
                  <c:v>16801</c:v>
                </c:pt>
                <c:pt idx="4">
                  <c:v>16774</c:v>
                </c:pt>
                <c:pt idx="5">
                  <c:v>16704</c:v>
                </c:pt>
                <c:pt idx="6">
                  <c:v>16682</c:v>
                </c:pt>
                <c:pt idx="7">
                  <c:v>16551</c:v>
                </c:pt>
              </c:numCache>
            </c:numRef>
          </c:val>
          <c:extLst>
            <c:ext xmlns:c16="http://schemas.microsoft.com/office/drawing/2014/chart" uri="{C3380CC4-5D6E-409C-BE32-E72D297353CC}">
              <c16:uniqueId val="{00000000-1272-499E-B372-DFC5EBC58824}"/>
            </c:ext>
          </c:extLst>
        </c:ser>
        <c:dLbls>
          <c:showLegendKey val="0"/>
          <c:showVal val="0"/>
          <c:showCatName val="0"/>
          <c:showSerName val="0"/>
          <c:showPercent val="0"/>
          <c:showBubbleSize val="0"/>
        </c:dLbls>
        <c:gapWidth val="182"/>
        <c:axId val="114696144"/>
        <c:axId val="114693744"/>
      </c:barChart>
      <c:catAx>
        <c:axId val="11469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3744"/>
        <c:crosses val="autoZero"/>
        <c:auto val="1"/>
        <c:lblAlgn val="ctr"/>
        <c:lblOffset val="100"/>
        <c:noMultiLvlLbl val="0"/>
      </c:catAx>
      <c:valAx>
        <c:axId val="114693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1469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Mahin-Project1_macro.xlsm]Division-wise yearly Revenue!PivotTable9</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Division-wise yearly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'Division-wise yearly Revenue'!$B$3:$B$4</c:f>
              <c:strCache>
                <c:ptCount val="1"/>
                <c:pt idx="0">
                  <c:v>Barisal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Revenue'!$B$5:$B$10</c:f>
              <c:numCache>
                <c:formatCode>General</c:formatCode>
                <c:ptCount val="5"/>
                <c:pt idx="0">
                  <c:v>3251</c:v>
                </c:pt>
                <c:pt idx="1">
                  <c:v>3321</c:v>
                </c:pt>
                <c:pt idx="2">
                  <c:v>3337</c:v>
                </c:pt>
                <c:pt idx="3">
                  <c:v>3542</c:v>
                </c:pt>
                <c:pt idx="4">
                  <c:v>3650</c:v>
                </c:pt>
              </c:numCache>
            </c:numRef>
          </c:val>
          <c:smooth val="0"/>
          <c:extLst>
            <c:ext xmlns:c16="http://schemas.microsoft.com/office/drawing/2014/chart" uri="{C3380CC4-5D6E-409C-BE32-E72D297353CC}">
              <c16:uniqueId val="{00000000-278A-421E-B87B-F47ECF2E4CAF}"/>
            </c:ext>
          </c:extLst>
        </c:ser>
        <c:ser>
          <c:idx val="1"/>
          <c:order val="1"/>
          <c:tx>
            <c:strRef>
              <c:f>'Division-wise yearly Revenue'!$C$3:$C$4</c:f>
              <c:strCache>
                <c:ptCount val="1"/>
                <c:pt idx="0">
                  <c:v>Chattogram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Revenue'!$C$5:$C$10</c:f>
              <c:numCache>
                <c:formatCode>General</c:formatCode>
                <c:ptCount val="5"/>
                <c:pt idx="0">
                  <c:v>3236</c:v>
                </c:pt>
                <c:pt idx="1">
                  <c:v>3571</c:v>
                </c:pt>
                <c:pt idx="2">
                  <c:v>3380</c:v>
                </c:pt>
                <c:pt idx="3">
                  <c:v>3479</c:v>
                </c:pt>
                <c:pt idx="4">
                  <c:v>3135</c:v>
                </c:pt>
              </c:numCache>
            </c:numRef>
          </c:val>
          <c:smooth val="0"/>
          <c:extLst>
            <c:ext xmlns:c16="http://schemas.microsoft.com/office/drawing/2014/chart" uri="{C3380CC4-5D6E-409C-BE32-E72D297353CC}">
              <c16:uniqueId val="{00000009-278A-421E-B87B-F47ECF2E4CAF}"/>
            </c:ext>
          </c:extLst>
        </c:ser>
        <c:ser>
          <c:idx val="2"/>
          <c:order val="2"/>
          <c:tx>
            <c:strRef>
              <c:f>'Division-wise yearly Revenue'!$D$3:$D$4</c:f>
              <c:strCache>
                <c:ptCount val="1"/>
                <c:pt idx="0">
                  <c:v>Dhaka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Revenue'!$D$5:$D$10</c:f>
              <c:numCache>
                <c:formatCode>General</c:formatCode>
                <c:ptCount val="5"/>
                <c:pt idx="0">
                  <c:v>3367</c:v>
                </c:pt>
                <c:pt idx="1">
                  <c:v>3390</c:v>
                </c:pt>
                <c:pt idx="2">
                  <c:v>3612</c:v>
                </c:pt>
                <c:pt idx="3">
                  <c:v>3232</c:v>
                </c:pt>
                <c:pt idx="4">
                  <c:v>3103</c:v>
                </c:pt>
              </c:numCache>
            </c:numRef>
          </c:val>
          <c:smooth val="0"/>
          <c:extLst>
            <c:ext xmlns:c16="http://schemas.microsoft.com/office/drawing/2014/chart" uri="{C3380CC4-5D6E-409C-BE32-E72D297353CC}">
              <c16:uniqueId val="{0000000A-278A-421E-B87B-F47ECF2E4CAF}"/>
            </c:ext>
          </c:extLst>
        </c:ser>
        <c:ser>
          <c:idx val="3"/>
          <c:order val="3"/>
          <c:tx>
            <c:strRef>
              <c:f>'Division-wise yearly Revenue'!$E$3:$E$4</c:f>
              <c:strCache>
                <c:ptCount val="1"/>
                <c:pt idx="0">
                  <c:v>Khulna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Revenue'!$E$5:$E$10</c:f>
              <c:numCache>
                <c:formatCode>General</c:formatCode>
                <c:ptCount val="5"/>
                <c:pt idx="0">
                  <c:v>3465</c:v>
                </c:pt>
                <c:pt idx="1">
                  <c:v>3176</c:v>
                </c:pt>
                <c:pt idx="2">
                  <c:v>3174</c:v>
                </c:pt>
                <c:pt idx="3">
                  <c:v>3764</c:v>
                </c:pt>
                <c:pt idx="4">
                  <c:v>3103</c:v>
                </c:pt>
              </c:numCache>
            </c:numRef>
          </c:val>
          <c:smooth val="0"/>
          <c:extLst>
            <c:ext xmlns:c16="http://schemas.microsoft.com/office/drawing/2014/chart" uri="{C3380CC4-5D6E-409C-BE32-E72D297353CC}">
              <c16:uniqueId val="{0000000B-278A-421E-B87B-F47ECF2E4CAF}"/>
            </c:ext>
          </c:extLst>
        </c:ser>
        <c:ser>
          <c:idx val="4"/>
          <c:order val="4"/>
          <c:tx>
            <c:strRef>
              <c:f>'Division-wise yearly Revenue'!$F$3:$F$4</c:f>
              <c:strCache>
                <c:ptCount val="1"/>
                <c:pt idx="0">
                  <c:v>Mymensingh</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Revenue'!$F$5:$F$10</c:f>
              <c:numCache>
                <c:formatCode>General</c:formatCode>
                <c:ptCount val="5"/>
                <c:pt idx="0">
                  <c:v>3259</c:v>
                </c:pt>
                <c:pt idx="1">
                  <c:v>3604</c:v>
                </c:pt>
                <c:pt idx="2">
                  <c:v>3276</c:v>
                </c:pt>
                <c:pt idx="3">
                  <c:v>3516</c:v>
                </c:pt>
                <c:pt idx="4">
                  <c:v>3119</c:v>
                </c:pt>
              </c:numCache>
            </c:numRef>
          </c:val>
          <c:smooth val="0"/>
          <c:extLst>
            <c:ext xmlns:c16="http://schemas.microsoft.com/office/drawing/2014/chart" uri="{C3380CC4-5D6E-409C-BE32-E72D297353CC}">
              <c16:uniqueId val="{0000000C-278A-421E-B87B-F47ECF2E4CAF}"/>
            </c:ext>
          </c:extLst>
        </c:ser>
        <c:ser>
          <c:idx val="5"/>
          <c:order val="5"/>
          <c:tx>
            <c:strRef>
              <c:f>'Division-wise yearly Revenue'!$G$3:$G$4</c:f>
              <c:strCache>
                <c:ptCount val="1"/>
                <c:pt idx="0">
                  <c:v>Rajshahi</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Revenue'!$G$5:$G$10</c:f>
              <c:numCache>
                <c:formatCode>General</c:formatCode>
                <c:ptCount val="5"/>
                <c:pt idx="0">
                  <c:v>3416</c:v>
                </c:pt>
                <c:pt idx="1">
                  <c:v>3765</c:v>
                </c:pt>
                <c:pt idx="2">
                  <c:v>3484</c:v>
                </c:pt>
                <c:pt idx="3">
                  <c:v>3549</c:v>
                </c:pt>
                <c:pt idx="4">
                  <c:v>3047</c:v>
                </c:pt>
              </c:numCache>
            </c:numRef>
          </c:val>
          <c:smooth val="0"/>
          <c:extLst>
            <c:ext xmlns:c16="http://schemas.microsoft.com/office/drawing/2014/chart" uri="{C3380CC4-5D6E-409C-BE32-E72D297353CC}">
              <c16:uniqueId val="{0000000D-278A-421E-B87B-F47ECF2E4CAF}"/>
            </c:ext>
          </c:extLst>
        </c:ser>
        <c:ser>
          <c:idx val="6"/>
          <c:order val="6"/>
          <c:tx>
            <c:strRef>
              <c:f>'Division-wise yearly Revenue'!$H$3:$H$4</c:f>
              <c:strCache>
                <c:ptCount val="1"/>
                <c:pt idx="0">
                  <c:v>Rangpur</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Revenue'!$H$5:$H$10</c:f>
              <c:numCache>
                <c:formatCode>General</c:formatCode>
                <c:ptCount val="5"/>
                <c:pt idx="0">
                  <c:v>3247</c:v>
                </c:pt>
                <c:pt idx="1">
                  <c:v>3752</c:v>
                </c:pt>
                <c:pt idx="2">
                  <c:v>3985</c:v>
                </c:pt>
                <c:pt idx="3">
                  <c:v>3224</c:v>
                </c:pt>
                <c:pt idx="4">
                  <c:v>3218</c:v>
                </c:pt>
              </c:numCache>
            </c:numRef>
          </c:val>
          <c:smooth val="0"/>
          <c:extLst>
            <c:ext xmlns:c16="http://schemas.microsoft.com/office/drawing/2014/chart" uri="{C3380CC4-5D6E-409C-BE32-E72D297353CC}">
              <c16:uniqueId val="{0000000E-278A-421E-B87B-F47ECF2E4CAF}"/>
            </c:ext>
          </c:extLst>
        </c:ser>
        <c:ser>
          <c:idx val="7"/>
          <c:order val="7"/>
          <c:tx>
            <c:strRef>
              <c:f>'Division-wise yearly Revenue'!$I$3:$I$4</c:f>
              <c:strCache>
                <c:ptCount val="1"/>
                <c:pt idx="0">
                  <c:v>Sylhet</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Revenue'!$I$5:$I$10</c:f>
              <c:numCache>
                <c:formatCode>General</c:formatCode>
                <c:ptCount val="5"/>
                <c:pt idx="0">
                  <c:v>3640</c:v>
                </c:pt>
                <c:pt idx="1">
                  <c:v>3367</c:v>
                </c:pt>
                <c:pt idx="2">
                  <c:v>3414</c:v>
                </c:pt>
                <c:pt idx="3">
                  <c:v>3049</c:v>
                </c:pt>
                <c:pt idx="4">
                  <c:v>3081</c:v>
                </c:pt>
              </c:numCache>
            </c:numRef>
          </c:val>
          <c:smooth val="0"/>
          <c:extLst>
            <c:ext xmlns:c16="http://schemas.microsoft.com/office/drawing/2014/chart" uri="{C3380CC4-5D6E-409C-BE32-E72D297353CC}">
              <c16:uniqueId val="{0000000F-278A-421E-B87B-F47ECF2E4CAF}"/>
            </c:ext>
          </c:extLst>
        </c:ser>
        <c:dLbls>
          <c:showLegendKey val="0"/>
          <c:showVal val="0"/>
          <c:showCatName val="0"/>
          <c:showSerName val="0"/>
          <c:showPercent val="0"/>
          <c:showBubbleSize val="0"/>
        </c:dLbls>
        <c:marker val="1"/>
        <c:smooth val="0"/>
        <c:axId val="206915760"/>
        <c:axId val="206917680"/>
      </c:lineChart>
      <c:catAx>
        <c:axId val="2069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17680"/>
        <c:crosses val="autoZero"/>
        <c:auto val="1"/>
        <c:lblAlgn val="ctr"/>
        <c:lblOffset val="100"/>
        <c:noMultiLvlLbl val="0"/>
      </c:catAx>
      <c:valAx>
        <c:axId val="206917680"/>
        <c:scaling>
          <c:orientation val="minMax"/>
          <c:min val="2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Payment Method!PivotTable10</c:name>
    <c:fmtId val="4"/>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Revenue by Payment</a:t>
            </a:r>
            <a:r>
              <a:rPr lang="en-US" baseline="0">
                <a:solidFill>
                  <a:schemeClr val="bg1"/>
                </a:solidFill>
              </a:rPr>
              <a:t> Method</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20081207212022786"/>
              <c:y val="-2.8193279118798674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0.20701232841978304"/>
              <c:y val="-6.276149907491071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'Revenue by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BE6-40F4-BD69-BB0E69BAE85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BE6-40F4-BD69-BB0E69BAE855}"/>
              </c:ext>
            </c:extLst>
          </c:dPt>
          <c:dLbls>
            <c:dLbl>
              <c:idx val="0"/>
              <c:layout>
                <c:manualLayout>
                  <c:x val="-0.20081207212022786"/>
                  <c:y val="-2.8193279118798674E-2"/>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BE6-40F4-BD69-BB0E69BAE855}"/>
                </c:ext>
              </c:extLst>
            </c:dLbl>
            <c:dLbl>
              <c:idx val="1"/>
              <c:layout>
                <c:manualLayout>
                  <c:x val="0.20701232841978304"/>
                  <c:y val="-6.2761499074910718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BE6-40F4-BD69-BB0E69BAE855}"/>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'Revenue by Payment Method'!$A$4:$A$6</c:f>
              <c:strCache>
                <c:ptCount val="2"/>
                <c:pt idx="0">
                  <c:v>Offline</c:v>
                </c:pt>
                <c:pt idx="1">
                  <c:v>Online</c:v>
                </c:pt>
              </c:strCache>
            </c:strRef>
          </c:cat>
          <c:val>
            <c:numRef>
              <c:f>'Revenue by Payment Method'!$B$4:$B$6</c:f>
              <c:numCache>
                <c:formatCode>General</c:formatCode>
                <c:ptCount val="2"/>
                <c:pt idx="0">
                  <c:v>68689</c:v>
                </c:pt>
                <c:pt idx="1">
                  <c:v>66611</c:v>
                </c:pt>
              </c:numCache>
            </c:numRef>
          </c:val>
          <c:extLst>
            <c:ext xmlns:c16="http://schemas.microsoft.com/office/drawing/2014/chart" uri="{C3380CC4-5D6E-409C-BE32-E72D297353CC}">
              <c16:uniqueId val="{00000004-EBE6-40F4-BD69-BB0E69BAE855}"/>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Products!PivotTable7</c:name>
    <c:fmtId val="8"/>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Revenue</a:t>
            </a:r>
            <a:r>
              <a:rPr lang="en-US" baseline="0">
                <a:solidFill>
                  <a:schemeClr val="bg1"/>
                </a:solidFill>
              </a:rPr>
              <a:t> by Products</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Products'!$B$3</c:f>
              <c:strCache>
                <c:ptCount val="1"/>
                <c:pt idx="0">
                  <c:v>Total</c:v>
                </c:pt>
              </c:strCache>
            </c:strRef>
          </c:tx>
          <c:spPr>
            <a:solidFill>
              <a:schemeClr val="accent1"/>
            </a:solidFill>
            <a:ln>
              <a:noFill/>
            </a:ln>
            <a:effectLst/>
          </c:spPr>
          <c:invertIfNegative val="0"/>
          <c:cat>
            <c:strRef>
              <c:f>'Revenue by Products'!$A$4:$A$12</c:f>
              <c:strCache>
                <c:ptCount val="8"/>
                <c:pt idx="0">
                  <c:v>TVs</c:v>
                </c:pt>
                <c:pt idx="1">
                  <c:v>Washing Machines</c:v>
                </c:pt>
                <c:pt idx="2">
                  <c:v>Tablets</c:v>
                </c:pt>
                <c:pt idx="3">
                  <c:v>Wearables</c:v>
                </c:pt>
                <c:pt idx="4">
                  <c:v>ACs</c:v>
                </c:pt>
                <c:pt idx="5">
                  <c:v>Monitors</c:v>
                </c:pt>
                <c:pt idx="6">
                  <c:v>Smartphones</c:v>
                </c:pt>
                <c:pt idx="7">
                  <c:v>Refrigerators</c:v>
                </c:pt>
              </c:strCache>
            </c:strRef>
          </c:cat>
          <c:val>
            <c:numRef>
              <c:f>'Revenue by Products'!$B$4:$B$12</c:f>
              <c:numCache>
                <c:formatCode>General</c:formatCode>
                <c:ptCount val="8"/>
                <c:pt idx="0">
                  <c:v>17601</c:v>
                </c:pt>
                <c:pt idx="1">
                  <c:v>17499</c:v>
                </c:pt>
                <c:pt idx="2">
                  <c:v>17357</c:v>
                </c:pt>
                <c:pt idx="3">
                  <c:v>17091</c:v>
                </c:pt>
                <c:pt idx="4">
                  <c:v>16830</c:v>
                </c:pt>
                <c:pt idx="5">
                  <c:v>16742</c:v>
                </c:pt>
                <c:pt idx="6">
                  <c:v>16683</c:v>
                </c:pt>
                <c:pt idx="7">
                  <c:v>15497</c:v>
                </c:pt>
              </c:numCache>
            </c:numRef>
          </c:val>
          <c:extLst>
            <c:ext xmlns:c16="http://schemas.microsoft.com/office/drawing/2014/chart" uri="{C3380CC4-5D6E-409C-BE32-E72D297353CC}">
              <c16:uniqueId val="{00000000-E11D-464A-A8B9-FFFB4F350B16}"/>
            </c:ext>
          </c:extLst>
        </c:ser>
        <c:dLbls>
          <c:showLegendKey val="0"/>
          <c:showVal val="0"/>
          <c:showCatName val="0"/>
          <c:showSerName val="0"/>
          <c:showPercent val="0"/>
          <c:showBubbleSize val="0"/>
        </c:dLbls>
        <c:gapWidth val="182"/>
        <c:axId val="206894160"/>
        <c:axId val="206899920"/>
      </c:barChart>
      <c:catAx>
        <c:axId val="206894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899920"/>
        <c:crosses val="autoZero"/>
        <c:auto val="1"/>
        <c:lblAlgn val="ctr"/>
        <c:lblOffset val="100"/>
        <c:noMultiLvlLbl val="0"/>
      </c:catAx>
      <c:valAx>
        <c:axId val="20689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89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Divisional Revenue!PivotTable8</c:name>
    <c:fmtId val="27"/>
  </c:pivotSource>
  <c:chart>
    <c:title>
      <c:tx>
        <c:rich>
          <a:bodyPr rot="0" spcFirstLastPara="1" vertOverflow="ellipsis" vert="horz" wrap="square" anchor="ctr" anchorCtr="1"/>
          <a:lstStyle/>
          <a:p>
            <a:pPr>
              <a:defRPr sz="1800" b="0" i="0" u="none" strike="noStrike" kern="1200" cap="none" spc="50" baseline="0">
                <a:solidFill>
                  <a:schemeClr val="bg1"/>
                </a:solidFill>
                <a:latin typeface="+mn-lt"/>
                <a:ea typeface="+mn-ea"/>
                <a:cs typeface="+mn-cs"/>
              </a:defRPr>
            </a:pPr>
            <a:r>
              <a:rPr lang="en-US">
                <a:solidFill>
                  <a:schemeClr val="bg1"/>
                </a:solidFill>
              </a:rPr>
              <a:t>Year-wise Divisional Revenue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bg1"/>
              </a:solidFill>
              <a:latin typeface="+mn-lt"/>
              <a:ea typeface="+mn-ea"/>
              <a:cs typeface="+mn-cs"/>
            </a:defRPr>
          </a:pPr>
          <a:endParaRPr lang="en-US"/>
        </a:p>
      </c:txPr>
    </c:title>
    <c:autoTitleDeleted val="0"/>
    <c:pivotFmts>
      <c:pivotFmt>
        <c:idx val="0"/>
        <c:spPr>
          <a:noFill/>
          <a:ln w="25400" cap="flat" cmpd="sng" algn="ctr">
            <a:solidFill>
              <a:schemeClr val="accent2"/>
            </a:solidFill>
            <a:miter lim="800000"/>
          </a:ln>
          <a:effectLst/>
        </c:spPr>
        <c:marker>
          <c:symbol val="circle"/>
          <c:size val="6"/>
          <c:spPr>
            <a:noFill/>
            <a:ln w="19050" cap="rnd">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Divisional Revenue'!$B$3</c:f>
              <c:strCache>
                <c:ptCount val="1"/>
                <c:pt idx="0">
                  <c:v>Total</c:v>
                </c:pt>
              </c:strCache>
            </c:strRef>
          </c:tx>
          <c:spPr>
            <a:noFill/>
            <a:ln w="25400" cap="flat" cmpd="sng" algn="ctr">
              <a:solidFill>
                <a:schemeClr val="accent2"/>
              </a:solidFill>
              <a:miter lim="800000"/>
            </a:ln>
            <a:effectLst/>
          </c:spPr>
          <c:invertIfNegative val="0"/>
          <c:cat>
            <c:multiLvlStrRef>
              <c:f>'Year-wise Divisional Revenue'!$A$4:$A$49</c:f>
              <c:multiLvlStrCache>
                <c:ptCount val="40"/>
                <c:lvl>
                  <c:pt idx="0">
                    <c:v>Sylhet</c:v>
                  </c:pt>
                  <c:pt idx="1">
                    <c:v>Khulna</c:v>
                  </c:pt>
                  <c:pt idx="2">
                    <c:v>Rajshahi</c:v>
                  </c:pt>
                  <c:pt idx="3">
                    <c:v>Dhaka</c:v>
                  </c:pt>
                  <c:pt idx="4">
                    <c:v>Mymensingh</c:v>
                  </c:pt>
                  <c:pt idx="5">
                    <c:v>Barisal</c:v>
                  </c:pt>
                  <c:pt idx="6">
                    <c:v>Rangpur</c:v>
                  </c:pt>
                  <c:pt idx="7">
                    <c:v>Chattogram</c:v>
                  </c:pt>
                  <c:pt idx="8">
                    <c:v>Rajshahi</c:v>
                  </c:pt>
                  <c:pt idx="9">
                    <c:v>Rangpur</c:v>
                  </c:pt>
                  <c:pt idx="10">
                    <c:v>Mymensingh</c:v>
                  </c:pt>
                  <c:pt idx="11">
                    <c:v>Chattogram</c:v>
                  </c:pt>
                  <c:pt idx="12">
                    <c:v>Dhaka</c:v>
                  </c:pt>
                  <c:pt idx="13">
                    <c:v>Sylhet</c:v>
                  </c:pt>
                  <c:pt idx="14">
                    <c:v>Barisal</c:v>
                  </c:pt>
                  <c:pt idx="15">
                    <c:v>Khulna</c:v>
                  </c:pt>
                  <c:pt idx="16">
                    <c:v>Rangpur</c:v>
                  </c:pt>
                  <c:pt idx="17">
                    <c:v>Dhaka</c:v>
                  </c:pt>
                  <c:pt idx="18">
                    <c:v>Rajshahi</c:v>
                  </c:pt>
                  <c:pt idx="19">
                    <c:v>Sylhet</c:v>
                  </c:pt>
                  <c:pt idx="20">
                    <c:v>Chattogram</c:v>
                  </c:pt>
                  <c:pt idx="21">
                    <c:v>Barisal</c:v>
                  </c:pt>
                  <c:pt idx="22">
                    <c:v>Mymensingh</c:v>
                  </c:pt>
                  <c:pt idx="23">
                    <c:v>Khulna</c:v>
                  </c:pt>
                  <c:pt idx="24">
                    <c:v>Khulna</c:v>
                  </c:pt>
                  <c:pt idx="25">
                    <c:v>Rajshahi</c:v>
                  </c:pt>
                  <c:pt idx="26">
                    <c:v>Barisal</c:v>
                  </c:pt>
                  <c:pt idx="27">
                    <c:v>Mymensingh</c:v>
                  </c:pt>
                  <c:pt idx="28">
                    <c:v>Chattogram</c:v>
                  </c:pt>
                  <c:pt idx="29">
                    <c:v>Dhaka</c:v>
                  </c:pt>
                  <c:pt idx="30">
                    <c:v>Rangpur</c:v>
                  </c:pt>
                  <c:pt idx="31">
                    <c:v>Sylhet</c:v>
                  </c:pt>
                  <c:pt idx="32">
                    <c:v>Barisal</c:v>
                  </c:pt>
                  <c:pt idx="33">
                    <c:v>Rangpur</c:v>
                  </c:pt>
                  <c:pt idx="34">
                    <c:v>Chattogram</c:v>
                  </c:pt>
                  <c:pt idx="35">
                    <c:v>Mymensingh</c:v>
                  </c:pt>
                  <c:pt idx="36">
                    <c:v>Dhaka</c:v>
                  </c:pt>
                  <c:pt idx="37">
                    <c:v>Khulna</c:v>
                  </c:pt>
                  <c:pt idx="38">
                    <c:v>Sylhet</c:v>
                  </c:pt>
                  <c:pt idx="39">
                    <c:v>Rajshahi</c:v>
                  </c:pt>
                </c:lvl>
                <c:lvl>
                  <c:pt idx="0">
                    <c:v>2020</c:v>
                  </c:pt>
                  <c:pt idx="8">
                    <c:v>2021</c:v>
                  </c:pt>
                  <c:pt idx="16">
                    <c:v>2022</c:v>
                  </c:pt>
                  <c:pt idx="24">
                    <c:v>2023</c:v>
                  </c:pt>
                  <c:pt idx="32">
                    <c:v>2024</c:v>
                  </c:pt>
                </c:lvl>
              </c:multiLvlStrCache>
            </c:multiLvlStrRef>
          </c:cat>
          <c:val>
            <c:numRef>
              <c:f>'Year-wise Divisional Revenue'!$B$4:$B$49</c:f>
              <c:numCache>
                <c:formatCode>General</c:formatCode>
                <c:ptCount val="40"/>
                <c:pt idx="0">
                  <c:v>3640</c:v>
                </c:pt>
                <c:pt idx="1">
                  <c:v>3465</c:v>
                </c:pt>
                <c:pt idx="2">
                  <c:v>3416</c:v>
                </c:pt>
                <c:pt idx="3">
                  <c:v>3367</c:v>
                </c:pt>
                <c:pt idx="4">
                  <c:v>3259</c:v>
                </c:pt>
                <c:pt idx="5">
                  <c:v>3251</c:v>
                </c:pt>
                <c:pt idx="6">
                  <c:v>3247</c:v>
                </c:pt>
                <c:pt idx="7">
                  <c:v>3236</c:v>
                </c:pt>
                <c:pt idx="8">
                  <c:v>3765</c:v>
                </c:pt>
                <c:pt idx="9">
                  <c:v>3752</c:v>
                </c:pt>
                <c:pt idx="10">
                  <c:v>3604</c:v>
                </c:pt>
                <c:pt idx="11">
                  <c:v>3571</c:v>
                </c:pt>
                <c:pt idx="12">
                  <c:v>3390</c:v>
                </c:pt>
                <c:pt idx="13">
                  <c:v>3367</c:v>
                </c:pt>
                <c:pt idx="14">
                  <c:v>3321</c:v>
                </c:pt>
                <c:pt idx="15">
                  <c:v>3176</c:v>
                </c:pt>
                <c:pt idx="16">
                  <c:v>3985</c:v>
                </c:pt>
                <c:pt idx="17">
                  <c:v>3612</c:v>
                </c:pt>
                <c:pt idx="18">
                  <c:v>3484</c:v>
                </c:pt>
                <c:pt idx="19">
                  <c:v>3414</c:v>
                </c:pt>
                <c:pt idx="20">
                  <c:v>3380</c:v>
                </c:pt>
                <c:pt idx="21">
                  <c:v>3337</c:v>
                </c:pt>
                <c:pt idx="22">
                  <c:v>3276</c:v>
                </c:pt>
                <c:pt idx="23">
                  <c:v>3174</c:v>
                </c:pt>
                <c:pt idx="24">
                  <c:v>3764</c:v>
                </c:pt>
                <c:pt idx="25">
                  <c:v>3549</c:v>
                </c:pt>
                <c:pt idx="26">
                  <c:v>3542</c:v>
                </c:pt>
                <c:pt idx="27">
                  <c:v>3516</c:v>
                </c:pt>
                <c:pt idx="28">
                  <c:v>3479</c:v>
                </c:pt>
                <c:pt idx="29">
                  <c:v>3232</c:v>
                </c:pt>
                <c:pt idx="30">
                  <c:v>3224</c:v>
                </c:pt>
                <c:pt idx="31">
                  <c:v>3049</c:v>
                </c:pt>
                <c:pt idx="32">
                  <c:v>3650</c:v>
                </c:pt>
                <c:pt idx="33">
                  <c:v>3218</c:v>
                </c:pt>
                <c:pt idx="34">
                  <c:v>3135</c:v>
                </c:pt>
                <c:pt idx="35">
                  <c:v>3119</c:v>
                </c:pt>
                <c:pt idx="36">
                  <c:v>3103</c:v>
                </c:pt>
                <c:pt idx="37">
                  <c:v>3103</c:v>
                </c:pt>
                <c:pt idx="38">
                  <c:v>3081</c:v>
                </c:pt>
                <c:pt idx="39">
                  <c:v>3047</c:v>
                </c:pt>
              </c:numCache>
            </c:numRef>
          </c:val>
          <c:extLst>
            <c:ext xmlns:c16="http://schemas.microsoft.com/office/drawing/2014/chart" uri="{C3380CC4-5D6E-409C-BE32-E72D297353CC}">
              <c16:uniqueId val="{00000000-885C-46DF-B2F5-76A0542F2B81}"/>
            </c:ext>
          </c:extLst>
        </c:ser>
        <c:dLbls>
          <c:showLegendKey val="0"/>
          <c:showVal val="0"/>
          <c:showCatName val="0"/>
          <c:showSerName val="0"/>
          <c:showPercent val="0"/>
          <c:showBubbleSize val="0"/>
        </c:dLbls>
        <c:gapWidth val="164"/>
        <c:overlap val="-35"/>
        <c:axId val="206908080"/>
        <c:axId val="206900400"/>
      </c:barChart>
      <c:catAx>
        <c:axId val="20690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00400"/>
        <c:crosses val="autoZero"/>
        <c:auto val="1"/>
        <c:lblAlgn val="ctr"/>
        <c:lblOffset val="100"/>
        <c:noMultiLvlLbl val="0"/>
      </c:catAx>
      <c:valAx>
        <c:axId val="206900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90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Product!PivotTable18</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 by</a:t>
            </a:r>
            <a:r>
              <a:rPr lang="en-US" baseline="0">
                <a:solidFill>
                  <a:schemeClr val="bg1"/>
                </a:solidFill>
              </a:rPr>
              <a:t> Product</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by Product'!$A$4:$A$12</c:f>
              <c:strCache>
                <c:ptCount val="8"/>
                <c:pt idx="0">
                  <c:v>ACs</c:v>
                </c:pt>
                <c:pt idx="1">
                  <c:v>Monitors</c:v>
                </c:pt>
                <c:pt idx="2">
                  <c:v>Refrigerators</c:v>
                </c:pt>
                <c:pt idx="3">
                  <c:v>Smartphones</c:v>
                </c:pt>
                <c:pt idx="4">
                  <c:v>Tablets</c:v>
                </c:pt>
                <c:pt idx="5">
                  <c:v>TVs</c:v>
                </c:pt>
                <c:pt idx="6">
                  <c:v>Washing Machines</c:v>
                </c:pt>
                <c:pt idx="7">
                  <c:v>Wearables</c:v>
                </c:pt>
              </c:strCache>
            </c:strRef>
          </c:cat>
          <c:val>
            <c:numRef>
              <c:f>'Profit by Product'!$B$4:$B$12</c:f>
              <c:numCache>
                <c:formatCode>General</c:formatCode>
                <c:ptCount val="8"/>
                <c:pt idx="0">
                  <c:v>5011</c:v>
                </c:pt>
                <c:pt idx="1">
                  <c:v>5036</c:v>
                </c:pt>
                <c:pt idx="2">
                  <c:v>4531</c:v>
                </c:pt>
                <c:pt idx="3">
                  <c:v>4562</c:v>
                </c:pt>
                <c:pt idx="4">
                  <c:v>4781</c:v>
                </c:pt>
                <c:pt idx="5">
                  <c:v>5041</c:v>
                </c:pt>
                <c:pt idx="6">
                  <c:v>5031</c:v>
                </c:pt>
                <c:pt idx="7">
                  <c:v>4695</c:v>
                </c:pt>
              </c:numCache>
            </c:numRef>
          </c:val>
          <c:smooth val="0"/>
          <c:extLst>
            <c:ext xmlns:c16="http://schemas.microsoft.com/office/drawing/2014/chart" uri="{C3380CC4-5D6E-409C-BE32-E72D297353CC}">
              <c16:uniqueId val="{00000000-657E-4E53-A8EC-8A1ED871683D}"/>
            </c:ext>
          </c:extLst>
        </c:ser>
        <c:dLbls>
          <c:showLegendKey val="0"/>
          <c:showVal val="0"/>
          <c:showCatName val="0"/>
          <c:showSerName val="0"/>
          <c:showPercent val="0"/>
          <c:showBubbleSize val="0"/>
        </c:dLbls>
        <c:marker val="1"/>
        <c:smooth val="0"/>
        <c:axId val="399340336"/>
        <c:axId val="399350416"/>
      </c:lineChart>
      <c:catAx>
        <c:axId val="39934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350416"/>
        <c:crosses val="autoZero"/>
        <c:auto val="1"/>
        <c:lblAlgn val="ctr"/>
        <c:lblOffset val="100"/>
        <c:noMultiLvlLbl val="0"/>
      </c:catAx>
      <c:valAx>
        <c:axId val="3993504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34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Year!PivotTable11</c:name>
    <c:fmtId val="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a:t>
            </a:r>
            <a:r>
              <a:rPr lang="en-US" baseline="0">
                <a:solidFill>
                  <a:schemeClr val="bg1"/>
                </a:solidFill>
              </a:rPr>
              <a:t> By Year</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By Year'!$B$3</c:f>
              <c:strCache>
                <c:ptCount val="1"/>
                <c:pt idx="0">
                  <c:v>Total</c:v>
                </c:pt>
              </c:strCache>
            </c:strRef>
          </c:tx>
          <c:spPr>
            <a:solidFill>
              <a:schemeClr val="accent1"/>
            </a:solidFill>
            <a:ln>
              <a:noFill/>
            </a:ln>
            <a:effectLst/>
          </c:spPr>
          <c:invertIfNegative val="0"/>
          <c:cat>
            <c:strRef>
              <c:f>'Profit By Year'!$A$4:$A$9</c:f>
              <c:strCache>
                <c:ptCount val="5"/>
                <c:pt idx="0">
                  <c:v>2020</c:v>
                </c:pt>
                <c:pt idx="1">
                  <c:v>2021</c:v>
                </c:pt>
                <c:pt idx="2">
                  <c:v>2022</c:v>
                </c:pt>
                <c:pt idx="3">
                  <c:v>2023</c:v>
                </c:pt>
                <c:pt idx="4">
                  <c:v>2024</c:v>
                </c:pt>
              </c:strCache>
            </c:strRef>
          </c:cat>
          <c:val>
            <c:numRef>
              <c:f>'Profit By Year'!$B$4:$B$9</c:f>
              <c:numCache>
                <c:formatCode>General</c:formatCode>
                <c:ptCount val="5"/>
                <c:pt idx="0">
                  <c:v>7409</c:v>
                </c:pt>
                <c:pt idx="1">
                  <c:v>8219</c:v>
                </c:pt>
                <c:pt idx="2">
                  <c:v>7686</c:v>
                </c:pt>
                <c:pt idx="3">
                  <c:v>7585</c:v>
                </c:pt>
                <c:pt idx="4">
                  <c:v>7789</c:v>
                </c:pt>
              </c:numCache>
            </c:numRef>
          </c:val>
          <c:extLst>
            <c:ext xmlns:c16="http://schemas.microsoft.com/office/drawing/2014/chart" uri="{C3380CC4-5D6E-409C-BE32-E72D297353CC}">
              <c16:uniqueId val="{00000000-465C-496F-8816-ED426F20ADD1}"/>
            </c:ext>
          </c:extLst>
        </c:ser>
        <c:dLbls>
          <c:showLegendKey val="0"/>
          <c:showVal val="0"/>
          <c:showCatName val="0"/>
          <c:showSerName val="0"/>
          <c:showPercent val="0"/>
          <c:showBubbleSize val="0"/>
        </c:dLbls>
        <c:gapWidth val="219"/>
        <c:overlap val="-27"/>
        <c:axId val="343330736"/>
        <c:axId val="343319216"/>
      </c:barChart>
      <c:catAx>
        <c:axId val="34333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3319216"/>
        <c:crosses val="autoZero"/>
        <c:auto val="1"/>
        <c:lblAlgn val="ctr"/>
        <c:lblOffset val="100"/>
        <c:noMultiLvlLbl val="0"/>
      </c:catAx>
      <c:valAx>
        <c:axId val="34331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4333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 &amp; Profit!PivotTable13</c:name>
    <c:fmtId val="3"/>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Year-wise</a:t>
            </a:r>
            <a:r>
              <a:rPr lang="en-US" baseline="0">
                <a:solidFill>
                  <a:schemeClr val="bg1"/>
                </a:solidFill>
              </a:rPr>
              <a:t> Revenue &amp; Profit</a:t>
            </a:r>
            <a:endParaRPr lang="en-US">
              <a:solidFill>
                <a:schemeClr val="bg1"/>
              </a:solidFill>
            </a:endParaRPr>
          </a:p>
        </c:rich>
      </c:tx>
      <c:layout>
        <c:manualLayout>
          <c:xMode val="edge"/>
          <c:yMode val="edge"/>
          <c:x val="0.33964566929133855"/>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Profit'!$B$3</c:f>
              <c:strCache>
                <c:ptCount val="1"/>
                <c:pt idx="0">
                  <c:v>Sum of Revenue (BDT Cr)</c:v>
                </c:pt>
              </c:strCache>
            </c:strRef>
          </c:tx>
          <c:spPr>
            <a:solidFill>
              <a:schemeClr val="accent1"/>
            </a:solidFill>
            <a:ln>
              <a:noFill/>
            </a:ln>
            <a:effectLst/>
          </c:spPr>
          <c:invertIfNegative val="0"/>
          <c:cat>
            <c:strRef>
              <c:f>'Year-wise Revenue &amp; Profit'!$A$4:$A$9</c:f>
              <c:strCache>
                <c:ptCount val="5"/>
                <c:pt idx="0">
                  <c:v>2020</c:v>
                </c:pt>
                <c:pt idx="1">
                  <c:v>2021</c:v>
                </c:pt>
                <c:pt idx="2">
                  <c:v>2022</c:v>
                </c:pt>
                <c:pt idx="3">
                  <c:v>2023</c:v>
                </c:pt>
                <c:pt idx="4">
                  <c:v>2024</c:v>
                </c:pt>
              </c:strCache>
            </c:strRef>
          </c:cat>
          <c:val>
            <c:numRef>
              <c:f>'Year-wise Revenue &amp; Profit'!$B$4:$B$9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62FA-4CDC-8E37-D0C544F34AB6}"/>
            </c:ext>
          </c:extLst>
        </c:ser>
        <c:dLbls>
          <c:showLegendKey val="0"/>
          <c:showVal val="0"/>
          <c:showCatName val="0"/>
          <c:showSerName val="0"/>
          <c:showPercent val="0"/>
          <c:showBubbleSize val="0"/>
        </c:dLbls>
        <c:gapWidth val="219"/>
        <c:overlap val="-27"/>
        <c:axId val="399436336"/>
        <c:axId val="399423856"/>
      </c:barChart>
      <c:lineChart>
        <c:grouping val="standard"/>
        <c:varyColors val="0"/>
        <c:ser>
          <c:idx val="1"/>
          <c:order val="1"/>
          <c:tx>
            <c:strRef>
              <c:f>'Year-wise Revenue &amp; Profit'!$C$3</c:f>
              <c:strCache>
                <c:ptCount val="1"/>
                <c:pt idx="0">
                  <c:v>Sum of Profit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Profit'!$A$4:$A$9</c:f>
              <c:strCache>
                <c:ptCount val="5"/>
                <c:pt idx="0">
                  <c:v>2020</c:v>
                </c:pt>
                <c:pt idx="1">
                  <c:v>2021</c:v>
                </c:pt>
                <c:pt idx="2">
                  <c:v>2022</c:v>
                </c:pt>
                <c:pt idx="3">
                  <c:v>2023</c:v>
                </c:pt>
                <c:pt idx="4">
                  <c:v>2024</c:v>
                </c:pt>
              </c:strCache>
            </c:strRef>
          </c:cat>
          <c:val>
            <c:numRef>
              <c:f>'Year-wise Revenue &amp; Profit'!$C$4:$C$9</c:f>
              <c:numCache>
                <c:formatCode>General</c:formatCode>
                <c:ptCount val="5"/>
                <c:pt idx="0">
                  <c:v>7409</c:v>
                </c:pt>
                <c:pt idx="1">
                  <c:v>8219</c:v>
                </c:pt>
                <c:pt idx="2">
                  <c:v>7686</c:v>
                </c:pt>
                <c:pt idx="3">
                  <c:v>7585</c:v>
                </c:pt>
                <c:pt idx="4">
                  <c:v>7789</c:v>
                </c:pt>
              </c:numCache>
            </c:numRef>
          </c:val>
          <c:smooth val="0"/>
          <c:extLst>
            <c:ext xmlns:c16="http://schemas.microsoft.com/office/drawing/2014/chart" uri="{C3380CC4-5D6E-409C-BE32-E72D297353CC}">
              <c16:uniqueId val="{00000001-62FA-4CDC-8E37-D0C544F34AB6}"/>
            </c:ext>
          </c:extLst>
        </c:ser>
        <c:dLbls>
          <c:showLegendKey val="0"/>
          <c:showVal val="0"/>
          <c:showCatName val="0"/>
          <c:showSerName val="0"/>
          <c:showPercent val="0"/>
          <c:showBubbleSize val="0"/>
        </c:dLbls>
        <c:marker val="1"/>
        <c:smooth val="0"/>
        <c:axId val="399436336"/>
        <c:axId val="399423856"/>
      </c:lineChart>
      <c:catAx>
        <c:axId val="39943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423856"/>
        <c:crosses val="autoZero"/>
        <c:auto val="1"/>
        <c:lblAlgn val="ctr"/>
        <c:lblOffset val="100"/>
        <c:noMultiLvlLbl val="0"/>
      </c:catAx>
      <c:valAx>
        <c:axId val="399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99436336"/>
        <c:crosses val="autoZero"/>
        <c:crossBetween val="between"/>
      </c:valAx>
      <c:spPr>
        <a:noFill/>
        <a:ln>
          <a:noFill/>
        </a:ln>
        <a:effectLst/>
      </c:spPr>
    </c:plotArea>
    <c:legend>
      <c:legendPos val="r"/>
      <c:layout>
        <c:manualLayout>
          <c:xMode val="edge"/>
          <c:yMode val="edge"/>
          <c:x val="0.70678416977237279"/>
          <c:y val="0.47872134733158345"/>
          <c:w val="0.28372591326440066"/>
          <c:h val="0.187501312335958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Order Method !PivotTable16</c:name>
    <c:fmtId val="15"/>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solidFill>
                  <a:schemeClr val="bg1"/>
                </a:solidFill>
              </a:rPr>
              <a:t>Profit by</a:t>
            </a:r>
            <a:r>
              <a:rPr lang="en-US" baseline="0">
                <a:solidFill>
                  <a:schemeClr val="bg1"/>
                </a:solidFill>
              </a:rPr>
              <a:t> </a:t>
            </a:r>
            <a:r>
              <a:rPr lang="en-US">
                <a:solidFill>
                  <a:schemeClr val="bg1"/>
                </a:solidFill>
              </a:rPr>
              <a:t>Order</a:t>
            </a:r>
            <a:r>
              <a:rPr lang="en-US" baseline="0">
                <a:solidFill>
                  <a:schemeClr val="bg1"/>
                </a:solidFill>
              </a:rPr>
              <a:t> Method </a:t>
            </a:r>
            <a:endParaRPr lang="en-US">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'Profit by Order Method '!$B$3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E3-441C-A36D-0EC8EA3063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6E3-441C-A36D-0EC8EA306338}"/>
              </c:ext>
            </c:extLst>
          </c:dPt>
          <c:dLbls>
            <c:dLbl>
              <c:idx val="0"/>
              <c:layout>
                <c:manualLayout>
                  <c:x val="-0.12579451006124234"/>
                  <c:y val="-1.65135608048993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6E3-441C-A36D-0EC8EA306338}"/>
                </c:ext>
              </c:extLst>
            </c:dLbl>
            <c:dLbl>
              <c:idx val="1"/>
              <c:layout>
                <c:manualLayout>
                  <c:x val="0.14845013123359579"/>
                  <c:y val="-8.2771945173519979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6E3-441C-A36D-0EC8EA3063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by Order Method '!$A$4:$A$6</c:f>
              <c:strCache>
                <c:ptCount val="2"/>
                <c:pt idx="0">
                  <c:v>Offline</c:v>
                </c:pt>
                <c:pt idx="1">
                  <c:v>Online</c:v>
                </c:pt>
              </c:strCache>
            </c:strRef>
          </c:cat>
          <c:val>
            <c:numRef>
              <c:f>'Profit by Order Method '!$B$4:$B$6</c:f>
              <c:numCache>
                <c:formatCode>General</c:formatCode>
                <c:ptCount val="2"/>
                <c:pt idx="0">
                  <c:v>19534</c:v>
                </c:pt>
                <c:pt idx="1">
                  <c:v>19154</c:v>
                </c:pt>
              </c:numCache>
            </c:numRef>
          </c:val>
          <c:extLst>
            <c:ext xmlns:c16="http://schemas.microsoft.com/office/drawing/2014/chart" uri="{C3380CC4-5D6E-409C-BE32-E72D297353CC}">
              <c16:uniqueId val="{00000004-A6E3-441C-A36D-0EC8EA306338}"/>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Mahin-Project1_macro.xlsm]Pivot Table!PivotTable1</c:name>
    <c:fmtId val="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Type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00-08A6-49E3-B6F4-13ECA596A810}"/>
            </c:ext>
          </c:extLst>
        </c:ser>
        <c:ser>
          <c:idx val="1"/>
          <c:order val="1"/>
          <c:tx>
            <c:strRef>
              <c:f>'Pivot Table'!$C$1</c:f>
              <c:strCache>
                <c:ptCount val="1"/>
                <c:pt idx="0">
                  <c:v>Sum of Quantity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01-08A6-49E3-B6F4-13ECA596A810}"/>
            </c:ext>
          </c:extLst>
        </c:ser>
        <c:ser>
          <c:idx val="2"/>
          <c:order val="2"/>
          <c:tx>
            <c:strRef>
              <c:f>'Pivot Table'!$D$1</c:f>
              <c:strCache>
                <c:ptCount val="1"/>
                <c:pt idx="0">
                  <c:v>Sum of Price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04-08A6-49E3-B6F4-13ECA596A810}"/>
            </c:ext>
          </c:extLst>
        </c:ser>
        <c:dLbls>
          <c:showLegendKey val="0"/>
          <c:showVal val="0"/>
          <c:showCatName val="0"/>
          <c:showSerName val="0"/>
          <c:showPercent val="0"/>
          <c:showBubbleSize val="0"/>
        </c:dLbls>
        <c:gapWidth val="100"/>
        <c:overlap val="-24"/>
        <c:axId val="291734608"/>
        <c:axId val="291739408"/>
      </c:barChart>
      <c:catAx>
        <c:axId val="291734608"/>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1739408"/>
        <c:crosses val="autoZero"/>
        <c:auto val="1"/>
        <c:lblAlgn val="ctr"/>
        <c:lblOffset val="100"/>
        <c:noMultiLvlLbl val="0"/>
      </c:catAx>
      <c:valAx>
        <c:axId val="2917394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91734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Mahin-Project1_macro.xlsm]Pivot Table!PivotTable1</c:name>
    <c:fmtId val="11"/>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Table'!$B$1</c:f>
              <c:strCache>
                <c:ptCount val="1"/>
                <c:pt idx="0">
                  <c:v>Count of Type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00-0F28-4500-B1A5-6F09D3488E59}"/>
            </c:ext>
          </c:extLst>
        </c:ser>
        <c:ser>
          <c:idx val="1"/>
          <c:order val="1"/>
          <c:tx>
            <c:strRef>
              <c:f>'Pivot Table'!$C$1</c:f>
              <c:strCache>
                <c:ptCount val="1"/>
                <c:pt idx="0">
                  <c:v>Sum of Quantity</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01-0F28-4500-B1A5-6F09D3488E59}"/>
            </c:ext>
          </c:extLst>
        </c:ser>
        <c:ser>
          <c:idx val="2"/>
          <c:order val="2"/>
          <c:tx>
            <c:strRef>
              <c:f>'Pivot Table'!$D$1</c:f>
              <c:strCache>
                <c:ptCount val="1"/>
                <c:pt idx="0">
                  <c:v>Sum of Price</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02-0F28-4500-B1A5-6F09D3488E59}"/>
            </c:ext>
          </c:extLst>
        </c:ser>
        <c:dLbls>
          <c:showLegendKey val="0"/>
          <c:showVal val="0"/>
          <c:showCatName val="0"/>
          <c:showSerName val="0"/>
          <c:showPercent val="0"/>
          <c:showBubbleSize val="0"/>
        </c:dLbls>
        <c:gapWidth val="100"/>
        <c:overlap val="-24"/>
        <c:axId val="450707584"/>
        <c:axId val="450722464"/>
      </c:barChart>
      <c:catAx>
        <c:axId val="4507075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722464"/>
        <c:crosses val="autoZero"/>
        <c:auto val="1"/>
        <c:lblAlgn val="ctr"/>
        <c:lblOffset val="100"/>
        <c:noMultiLvlLbl val="0"/>
      </c:catAx>
      <c:valAx>
        <c:axId val="450722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070758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Mahin-Project1_macro.xlsm]Pivot Table!PivotTable1</c:name>
    <c:fmtId val="16"/>
  </c:pivotSource>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 Table'!$B$1</c:f>
              <c:strCache>
                <c:ptCount val="1"/>
                <c:pt idx="0">
                  <c:v>Count of Type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7-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9-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B-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3-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5-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7-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9-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B-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D-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F-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1-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3-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Table'!$B$2:$B$25</c:f>
              <c:numCache>
                <c:formatCode>General</c:formatCode>
                <c:ptCount val="18"/>
                <c:pt idx="0">
                  <c:v>1</c:v>
                </c:pt>
                <c:pt idx="1">
                  <c:v>2</c:v>
                </c:pt>
                <c:pt idx="2">
                  <c:v>1</c:v>
                </c:pt>
                <c:pt idx="3">
                  <c:v>1</c:v>
                </c:pt>
                <c:pt idx="4">
                  <c:v>1</c:v>
                </c:pt>
                <c:pt idx="5">
                  <c:v>1</c:v>
                </c:pt>
                <c:pt idx="6">
                  <c:v>1</c:v>
                </c:pt>
                <c:pt idx="7">
                  <c:v>1</c:v>
                </c:pt>
                <c:pt idx="8">
                  <c:v>1</c:v>
                </c:pt>
                <c:pt idx="9">
                  <c:v>1</c:v>
                </c:pt>
                <c:pt idx="10">
                  <c:v>1</c:v>
                </c:pt>
                <c:pt idx="11">
                  <c:v>1</c:v>
                </c:pt>
                <c:pt idx="12">
                  <c:v>2</c:v>
                </c:pt>
                <c:pt idx="13">
                  <c:v>1</c:v>
                </c:pt>
                <c:pt idx="14">
                  <c:v>1</c:v>
                </c:pt>
                <c:pt idx="15">
                  <c:v>1</c:v>
                </c:pt>
                <c:pt idx="16">
                  <c:v>1</c:v>
                </c:pt>
                <c:pt idx="17">
                  <c:v>1</c:v>
                </c:pt>
              </c:numCache>
            </c:numRef>
          </c:val>
          <c:extLst>
            <c:ext xmlns:c16="http://schemas.microsoft.com/office/drawing/2014/chart" uri="{C3380CC4-5D6E-409C-BE32-E72D297353CC}">
              <c16:uniqueId val="{00000024-AA85-468E-BC88-EBDF6A684001}"/>
            </c:ext>
          </c:extLst>
        </c:ser>
        <c:ser>
          <c:idx val="1"/>
          <c:order val="1"/>
          <c:tx>
            <c:strRef>
              <c:f>'Pivot Table'!$C$1</c:f>
              <c:strCache>
                <c:ptCount val="1"/>
                <c:pt idx="0">
                  <c:v>Sum of Quantity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6-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8-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A-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C-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2E-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0-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2-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4-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6-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8-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A-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C-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3E-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0-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2-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4-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6-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8-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Table'!$C$2:$C$25</c:f>
              <c:numCache>
                <c:formatCode>General</c:formatCode>
                <c:ptCount val="18"/>
                <c:pt idx="0">
                  <c:v>1</c:v>
                </c:pt>
                <c:pt idx="1">
                  <c:v>8</c:v>
                </c:pt>
                <c:pt idx="2">
                  <c:v>1</c:v>
                </c:pt>
                <c:pt idx="3">
                  <c:v>2</c:v>
                </c:pt>
                <c:pt idx="4">
                  <c:v>4</c:v>
                </c:pt>
                <c:pt idx="5">
                  <c:v>5</c:v>
                </c:pt>
                <c:pt idx="6">
                  <c:v>4</c:v>
                </c:pt>
                <c:pt idx="7">
                  <c:v>7</c:v>
                </c:pt>
                <c:pt idx="8">
                  <c:v>3</c:v>
                </c:pt>
                <c:pt idx="9">
                  <c:v>5</c:v>
                </c:pt>
                <c:pt idx="10">
                  <c:v>3</c:v>
                </c:pt>
                <c:pt idx="11">
                  <c:v>4</c:v>
                </c:pt>
                <c:pt idx="12">
                  <c:v>7</c:v>
                </c:pt>
                <c:pt idx="13">
                  <c:v>6</c:v>
                </c:pt>
                <c:pt idx="14">
                  <c:v>5</c:v>
                </c:pt>
                <c:pt idx="15">
                  <c:v>2</c:v>
                </c:pt>
                <c:pt idx="16">
                  <c:v>2</c:v>
                </c:pt>
                <c:pt idx="17">
                  <c:v>4</c:v>
                </c:pt>
              </c:numCache>
            </c:numRef>
          </c:val>
          <c:extLst>
            <c:ext xmlns:c16="http://schemas.microsoft.com/office/drawing/2014/chart" uri="{C3380CC4-5D6E-409C-BE32-E72D297353CC}">
              <c16:uniqueId val="{00000049-AA85-468E-BC88-EBDF6A684001}"/>
            </c:ext>
          </c:extLst>
        </c:ser>
        <c:ser>
          <c:idx val="2"/>
          <c:order val="2"/>
          <c:tx>
            <c:strRef>
              <c:f>'Pivot Table'!$D$1</c:f>
              <c:strCache>
                <c:ptCount val="1"/>
                <c:pt idx="0">
                  <c:v>Sum of Price</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B-AA85-468E-BC88-EBDF6A684001}"/>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D-AA85-468E-BC88-EBDF6A684001}"/>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4F-AA85-468E-BC88-EBDF6A684001}"/>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1-AA85-468E-BC88-EBDF6A684001}"/>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3-AA85-468E-BC88-EBDF6A684001}"/>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5-AA85-468E-BC88-EBDF6A684001}"/>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7-AA85-468E-BC88-EBDF6A684001}"/>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9-AA85-468E-BC88-EBDF6A684001}"/>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B-AA85-468E-BC88-EBDF6A684001}"/>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D-AA85-468E-BC88-EBDF6A684001}"/>
              </c:ext>
            </c:extLst>
          </c:dPt>
          <c:dPt>
            <c:idx val="10"/>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5F-AA85-468E-BC88-EBDF6A684001}"/>
              </c:ext>
            </c:extLst>
          </c:dPt>
          <c:dPt>
            <c:idx val="11"/>
            <c:bubble3D val="0"/>
            <c:spPr>
              <a:gradFill rotWithShape="1">
                <a:gsLst>
                  <a:gs pos="0">
                    <a:schemeClr val="accent6">
                      <a:lumMod val="60000"/>
                      <a:satMod val="103000"/>
                      <a:lumMod val="102000"/>
                      <a:tint val="94000"/>
                    </a:schemeClr>
                  </a:gs>
                  <a:gs pos="50000">
                    <a:schemeClr val="accent6">
                      <a:lumMod val="60000"/>
                      <a:satMod val="110000"/>
                      <a:lumMod val="100000"/>
                      <a:shade val="100000"/>
                    </a:schemeClr>
                  </a:gs>
                  <a:gs pos="100000">
                    <a:schemeClr val="accent6">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1-AA85-468E-BC88-EBDF6A684001}"/>
              </c:ext>
            </c:extLst>
          </c:dPt>
          <c:dPt>
            <c:idx val="12"/>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3-AA85-468E-BC88-EBDF6A684001}"/>
              </c:ext>
            </c:extLst>
          </c:dPt>
          <c:dPt>
            <c:idx val="13"/>
            <c:bubble3D val="0"/>
            <c:spPr>
              <a:gradFill rotWithShape="1">
                <a:gsLst>
                  <a:gs pos="0">
                    <a:schemeClr val="accent2">
                      <a:lumMod val="80000"/>
                      <a:lumOff val="20000"/>
                      <a:satMod val="103000"/>
                      <a:lumMod val="102000"/>
                      <a:tint val="94000"/>
                    </a:schemeClr>
                  </a:gs>
                  <a:gs pos="50000">
                    <a:schemeClr val="accent2">
                      <a:lumMod val="80000"/>
                      <a:lumOff val="20000"/>
                      <a:satMod val="110000"/>
                      <a:lumMod val="100000"/>
                      <a:shade val="100000"/>
                    </a:schemeClr>
                  </a:gs>
                  <a:gs pos="100000">
                    <a:schemeClr val="accent2">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5-AA85-468E-BC88-EBDF6A684001}"/>
              </c:ext>
            </c:extLst>
          </c:dPt>
          <c:dPt>
            <c:idx val="14"/>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7-AA85-468E-BC88-EBDF6A684001}"/>
              </c:ext>
            </c:extLst>
          </c:dPt>
          <c:dPt>
            <c:idx val="15"/>
            <c:bubble3D val="0"/>
            <c:spPr>
              <a:gradFill rotWithShape="1">
                <a:gsLst>
                  <a:gs pos="0">
                    <a:schemeClr val="accent4">
                      <a:lumMod val="80000"/>
                      <a:lumOff val="20000"/>
                      <a:satMod val="103000"/>
                      <a:lumMod val="102000"/>
                      <a:tint val="94000"/>
                    </a:schemeClr>
                  </a:gs>
                  <a:gs pos="50000">
                    <a:schemeClr val="accent4">
                      <a:lumMod val="80000"/>
                      <a:lumOff val="20000"/>
                      <a:satMod val="110000"/>
                      <a:lumMod val="100000"/>
                      <a:shade val="100000"/>
                    </a:schemeClr>
                  </a:gs>
                  <a:gs pos="100000">
                    <a:schemeClr val="accent4">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9-AA85-468E-BC88-EBDF6A684001}"/>
              </c:ext>
            </c:extLst>
          </c:dPt>
          <c:dPt>
            <c:idx val="16"/>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B-AA85-468E-BC88-EBDF6A684001}"/>
              </c:ext>
            </c:extLst>
          </c:dPt>
          <c:dPt>
            <c:idx val="17"/>
            <c:bubble3D val="0"/>
            <c:spPr>
              <a:gradFill rotWithShape="1">
                <a:gsLst>
                  <a:gs pos="0">
                    <a:schemeClr val="accent6">
                      <a:lumMod val="80000"/>
                      <a:lumOff val="20000"/>
                      <a:satMod val="103000"/>
                      <a:lumMod val="102000"/>
                      <a:tint val="94000"/>
                    </a:schemeClr>
                  </a:gs>
                  <a:gs pos="50000">
                    <a:schemeClr val="accent6">
                      <a:lumMod val="80000"/>
                      <a:lumOff val="20000"/>
                      <a:satMod val="110000"/>
                      <a:lumMod val="100000"/>
                      <a:shade val="100000"/>
                    </a:schemeClr>
                  </a:gs>
                  <a:gs pos="100000">
                    <a:schemeClr val="accent6">
                      <a:lumMod val="80000"/>
                      <a:lumOff val="20000"/>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6D-AA85-468E-BC88-EBDF6A684001}"/>
              </c:ext>
            </c:extLst>
          </c:dPt>
          <c:cat>
            <c:multiLvlStrRef>
              <c:f>'Pivot Table'!$A$2:$A$25</c:f>
              <c:multiLvlStrCache>
                <c:ptCount val="18"/>
                <c:lvl>
                  <c:pt idx="0">
                    <c:v>Hyundai</c:v>
                  </c:pt>
                  <c:pt idx="1">
                    <c:v>Lamborghini</c:v>
                  </c:pt>
                  <c:pt idx="2">
                    <c:v>Mercedes</c:v>
                  </c:pt>
                  <c:pt idx="3">
                    <c:v>BMW</c:v>
                  </c:pt>
                  <c:pt idx="4">
                    <c:v>Ford</c:v>
                  </c:pt>
                  <c:pt idx="5">
                    <c:v>Hyundai</c:v>
                  </c:pt>
                  <c:pt idx="6">
                    <c:v>Nissan</c:v>
                  </c:pt>
                  <c:pt idx="7">
                    <c:v>BMW</c:v>
                  </c:pt>
                  <c:pt idx="8">
                    <c:v>Ford</c:v>
                  </c:pt>
                  <c:pt idx="9">
                    <c:v>Hyundai</c:v>
                  </c:pt>
                  <c:pt idx="10">
                    <c:v>Suzuki</c:v>
                  </c:pt>
                  <c:pt idx="11">
                    <c:v>BMW</c:v>
                  </c:pt>
                  <c:pt idx="12">
                    <c:v>Ferrari</c:v>
                  </c:pt>
                  <c:pt idx="13">
                    <c:v>Nissan</c:v>
                  </c:pt>
                  <c:pt idx="14">
                    <c:v>Ferrari</c:v>
                  </c:pt>
                  <c:pt idx="15">
                    <c:v>Ford</c:v>
                  </c:pt>
                  <c:pt idx="16">
                    <c:v>Lamborghini</c:v>
                  </c:pt>
                  <c:pt idx="17">
                    <c:v>Mercedes</c:v>
                  </c:pt>
                </c:lvl>
                <c:lvl>
                  <c:pt idx="0">
                    <c:v>2017</c:v>
                  </c:pt>
                  <c:pt idx="3">
                    <c:v>2018</c:v>
                  </c:pt>
                  <c:pt idx="7">
                    <c:v>2019</c:v>
                  </c:pt>
                  <c:pt idx="11">
                    <c:v>2020</c:v>
                  </c:pt>
                  <c:pt idx="14">
                    <c:v>2021</c:v>
                  </c:pt>
                </c:lvl>
              </c:multiLvlStrCache>
            </c:multiLvlStrRef>
          </c:cat>
          <c:val>
            <c:numRef>
              <c:f>'Pivot Table'!$D$2:$D$25</c:f>
              <c:numCache>
                <c:formatCode>General</c:formatCode>
                <c:ptCount val="18"/>
                <c:pt idx="0">
                  <c:v>80000</c:v>
                </c:pt>
                <c:pt idx="1">
                  <c:v>500000</c:v>
                </c:pt>
                <c:pt idx="2">
                  <c:v>120000</c:v>
                </c:pt>
                <c:pt idx="3">
                  <c:v>150000</c:v>
                </c:pt>
                <c:pt idx="4">
                  <c:v>350000</c:v>
                </c:pt>
                <c:pt idx="5">
                  <c:v>40000</c:v>
                </c:pt>
                <c:pt idx="6">
                  <c:v>220000</c:v>
                </c:pt>
                <c:pt idx="7">
                  <c:v>120000</c:v>
                </c:pt>
                <c:pt idx="8">
                  <c:v>35000</c:v>
                </c:pt>
                <c:pt idx="9">
                  <c:v>85000</c:v>
                </c:pt>
                <c:pt idx="10">
                  <c:v>35000</c:v>
                </c:pt>
                <c:pt idx="11">
                  <c:v>85000</c:v>
                </c:pt>
                <c:pt idx="12">
                  <c:v>550000</c:v>
                </c:pt>
                <c:pt idx="13">
                  <c:v>150000</c:v>
                </c:pt>
                <c:pt idx="14">
                  <c:v>125000</c:v>
                </c:pt>
                <c:pt idx="15">
                  <c:v>50000</c:v>
                </c:pt>
                <c:pt idx="16">
                  <c:v>350000</c:v>
                </c:pt>
                <c:pt idx="17">
                  <c:v>170000</c:v>
                </c:pt>
              </c:numCache>
            </c:numRef>
          </c:val>
          <c:extLst>
            <c:ext xmlns:c16="http://schemas.microsoft.com/office/drawing/2014/chart" uri="{C3380CC4-5D6E-409C-BE32-E72D297353CC}">
              <c16:uniqueId val="{0000006E-AA85-468E-BC88-EBDF6A68400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46981627296588"/>
          <c:y val="0.14856481481481484"/>
          <c:w val="0.86497462817147852"/>
          <c:h val="0.72125801983085447"/>
        </c:manualLayout>
      </c:layout>
      <c:barChart>
        <c:barDir val="col"/>
        <c:grouping val="clustered"/>
        <c:varyColors val="0"/>
        <c:ser>
          <c:idx val="0"/>
          <c:order val="0"/>
          <c:tx>
            <c:strRef>
              <c:f>'Year-wise Revenue'!$B$3</c:f>
              <c:strCache>
                <c:ptCount val="1"/>
                <c:pt idx="0">
                  <c:v>Total</c:v>
                </c:pt>
              </c:strCache>
            </c:strRef>
          </c:tx>
          <c:spPr>
            <a:solidFill>
              <a:schemeClr val="accent1"/>
            </a:solidFill>
            <a:ln>
              <a:noFill/>
            </a:ln>
            <a:effectLst/>
          </c:spPr>
          <c:invertIfNegative val="0"/>
          <c:cat>
            <c:strRef>
              <c:f>'Year-wise Revenue'!$A$4:$A$9</c:f>
              <c:strCache>
                <c:ptCount val="5"/>
                <c:pt idx="0">
                  <c:v>2020</c:v>
                </c:pt>
                <c:pt idx="1">
                  <c:v>2021</c:v>
                </c:pt>
                <c:pt idx="2">
                  <c:v>2022</c:v>
                </c:pt>
                <c:pt idx="3">
                  <c:v>2023</c:v>
                </c:pt>
                <c:pt idx="4">
                  <c:v>2024</c:v>
                </c:pt>
              </c:strCache>
            </c:strRef>
          </c:cat>
          <c:val>
            <c:numRef>
              <c:f>'Year-wise Revenue'!$B$4:$B$9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EFE2-48C7-BB85-479F6722BCC1}"/>
            </c:ext>
          </c:extLst>
        </c:ser>
        <c:dLbls>
          <c:showLegendKey val="0"/>
          <c:showVal val="0"/>
          <c:showCatName val="0"/>
          <c:showSerName val="0"/>
          <c:showPercent val="0"/>
          <c:showBubbleSize val="0"/>
        </c:dLbls>
        <c:gapWidth val="219"/>
        <c:overlap val="-27"/>
        <c:axId val="114690384"/>
        <c:axId val="114692304"/>
      </c:barChart>
      <c:catAx>
        <c:axId val="1146903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2304"/>
        <c:crosses val="autoZero"/>
        <c:auto val="1"/>
        <c:lblAlgn val="ctr"/>
        <c:lblOffset val="100"/>
        <c:noMultiLvlLbl val="0"/>
      </c:catAx>
      <c:valAx>
        <c:axId val="11469230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03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 &amp; Cost!PivotTable5</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 &amp; Cost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Cost'!$B$3</c:f>
              <c:strCache>
                <c:ptCount val="1"/>
                <c:pt idx="0">
                  <c:v>Sum of Revenue (BDT Cr)</c:v>
                </c:pt>
              </c:strCache>
            </c:strRef>
          </c:tx>
          <c:spPr>
            <a:solidFill>
              <a:schemeClr val="accent1"/>
            </a:solidFill>
            <a:ln>
              <a:noFill/>
            </a:ln>
            <a:effectLst/>
          </c:spPr>
          <c:invertIfNegative val="0"/>
          <c:cat>
            <c:strRef>
              <c:f>'Year-wise Revenue &amp; Cost'!$A$4:$A$9</c:f>
              <c:strCache>
                <c:ptCount val="5"/>
                <c:pt idx="0">
                  <c:v>2020</c:v>
                </c:pt>
                <c:pt idx="1">
                  <c:v>2021</c:v>
                </c:pt>
                <c:pt idx="2">
                  <c:v>2022</c:v>
                </c:pt>
                <c:pt idx="3">
                  <c:v>2023</c:v>
                </c:pt>
                <c:pt idx="4">
                  <c:v>2024</c:v>
                </c:pt>
              </c:strCache>
            </c:strRef>
          </c:cat>
          <c:val>
            <c:numRef>
              <c:f>'Year-wise Revenue &amp; Cost'!$B$4:$B$9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DDE4-4161-9E3E-987F85B9487D}"/>
            </c:ext>
          </c:extLst>
        </c:ser>
        <c:dLbls>
          <c:showLegendKey val="0"/>
          <c:showVal val="0"/>
          <c:showCatName val="0"/>
          <c:showSerName val="0"/>
          <c:showPercent val="0"/>
          <c:showBubbleSize val="0"/>
        </c:dLbls>
        <c:gapWidth val="219"/>
        <c:overlap val="-27"/>
        <c:axId val="114690864"/>
        <c:axId val="114683184"/>
      </c:barChart>
      <c:lineChart>
        <c:grouping val="standard"/>
        <c:varyColors val="0"/>
        <c:ser>
          <c:idx val="1"/>
          <c:order val="1"/>
          <c:tx>
            <c:strRef>
              <c:f>'Year-wise Revenue &amp; Cost'!$C$3</c:f>
              <c:strCache>
                <c:ptCount val="1"/>
                <c:pt idx="0">
                  <c:v>Sum of Cost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Cost'!$A$4:$A$9</c:f>
              <c:strCache>
                <c:ptCount val="5"/>
                <c:pt idx="0">
                  <c:v>2020</c:v>
                </c:pt>
                <c:pt idx="1">
                  <c:v>2021</c:v>
                </c:pt>
                <c:pt idx="2">
                  <c:v>2022</c:v>
                </c:pt>
                <c:pt idx="3">
                  <c:v>2023</c:v>
                </c:pt>
                <c:pt idx="4">
                  <c:v>2024</c:v>
                </c:pt>
              </c:strCache>
            </c:strRef>
          </c:cat>
          <c:val>
            <c:numRef>
              <c:f>'Year-wise Revenue &amp; Cost'!$C$4:$C$9</c:f>
              <c:numCache>
                <c:formatCode>General</c:formatCode>
                <c:ptCount val="5"/>
                <c:pt idx="0">
                  <c:v>19472</c:v>
                </c:pt>
                <c:pt idx="1">
                  <c:v>19727</c:v>
                </c:pt>
                <c:pt idx="2">
                  <c:v>19976</c:v>
                </c:pt>
                <c:pt idx="3">
                  <c:v>19770</c:v>
                </c:pt>
                <c:pt idx="4">
                  <c:v>17667</c:v>
                </c:pt>
              </c:numCache>
            </c:numRef>
          </c:val>
          <c:smooth val="0"/>
          <c:extLst>
            <c:ext xmlns:c16="http://schemas.microsoft.com/office/drawing/2014/chart" uri="{C3380CC4-5D6E-409C-BE32-E72D297353CC}">
              <c16:uniqueId val="{00000001-DDE4-4161-9E3E-987F85B9487D}"/>
            </c:ext>
          </c:extLst>
        </c:ser>
        <c:dLbls>
          <c:showLegendKey val="0"/>
          <c:showVal val="0"/>
          <c:showCatName val="0"/>
          <c:showSerName val="0"/>
          <c:showPercent val="0"/>
          <c:showBubbleSize val="0"/>
        </c:dLbls>
        <c:marker val="1"/>
        <c:smooth val="0"/>
        <c:axId val="114691824"/>
        <c:axId val="114684144"/>
      </c:lineChart>
      <c:catAx>
        <c:axId val="114690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83184"/>
        <c:crosses val="autoZero"/>
        <c:auto val="1"/>
        <c:lblAlgn val="ctr"/>
        <c:lblOffset val="100"/>
        <c:noMultiLvlLbl val="0"/>
      </c:catAx>
      <c:valAx>
        <c:axId val="11468318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0864"/>
        <c:crosses val="autoZero"/>
        <c:crossBetween val="between"/>
      </c:valAx>
      <c:valAx>
        <c:axId val="11468414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1824"/>
        <c:crosses val="max"/>
        <c:crossBetween val="between"/>
      </c:valAx>
      <c:catAx>
        <c:axId val="114691824"/>
        <c:scaling>
          <c:orientation val="minMax"/>
        </c:scaling>
        <c:delete val="1"/>
        <c:axPos val="b"/>
        <c:numFmt formatCode="General" sourceLinked="1"/>
        <c:majorTickMark val="out"/>
        <c:minorTickMark val="none"/>
        <c:tickLblPos val="nextTo"/>
        <c:crossAx val="11468414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Divisions!PivotTable6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Revenue by Divisions</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Divisions'!$B$3</c:f>
              <c:strCache>
                <c:ptCount val="1"/>
                <c:pt idx="0">
                  <c:v>Total</c:v>
                </c:pt>
              </c:strCache>
            </c:strRef>
          </c:tx>
          <c:spPr>
            <a:solidFill>
              <a:schemeClr val="accent1"/>
            </a:solidFill>
            <a:ln>
              <a:noFill/>
            </a:ln>
            <a:effectLst/>
          </c:spPr>
          <c:invertIfNegative val="0"/>
          <c:cat>
            <c:strRef>
              <c:f>'Revenue by Divisions'!$A$4:$A$12</c:f>
              <c:strCache>
                <c:ptCount val="8"/>
                <c:pt idx="0">
                  <c:v>Rangpur</c:v>
                </c:pt>
                <c:pt idx="1">
                  <c:v>Rajshahi</c:v>
                </c:pt>
                <c:pt idx="2">
                  <c:v>Barisal</c:v>
                </c:pt>
                <c:pt idx="3">
                  <c:v>Chattogram</c:v>
                </c:pt>
                <c:pt idx="4">
                  <c:v>Mymensingh</c:v>
                </c:pt>
                <c:pt idx="5">
                  <c:v>Dhaka</c:v>
                </c:pt>
                <c:pt idx="6">
                  <c:v>Khulna</c:v>
                </c:pt>
                <c:pt idx="7">
                  <c:v>Sylhet</c:v>
                </c:pt>
              </c:strCache>
            </c:strRef>
          </c:cat>
          <c:val>
            <c:numRef>
              <c:f>'Revenue by Divisions'!$B$4:$B$12</c:f>
              <c:numCache>
                <c:formatCode>General</c:formatCode>
                <c:ptCount val="8"/>
                <c:pt idx="0">
                  <c:v>17426</c:v>
                </c:pt>
                <c:pt idx="1">
                  <c:v>17261</c:v>
                </c:pt>
                <c:pt idx="2">
                  <c:v>17101</c:v>
                </c:pt>
                <c:pt idx="3">
                  <c:v>16801</c:v>
                </c:pt>
                <c:pt idx="4">
                  <c:v>16774</c:v>
                </c:pt>
                <c:pt idx="5">
                  <c:v>16704</c:v>
                </c:pt>
                <c:pt idx="6">
                  <c:v>16682</c:v>
                </c:pt>
                <c:pt idx="7">
                  <c:v>16551</c:v>
                </c:pt>
              </c:numCache>
            </c:numRef>
          </c:val>
          <c:extLst>
            <c:ext xmlns:c16="http://schemas.microsoft.com/office/drawing/2014/chart" uri="{C3380CC4-5D6E-409C-BE32-E72D297353CC}">
              <c16:uniqueId val="{00000000-03E2-482A-8ACD-EF13158DCF44}"/>
            </c:ext>
          </c:extLst>
        </c:ser>
        <c:dLbls>
          <c:showLegendKey val="0"/>
          <c:showVal val="0"/>
          <c:showCatName val="0"/>
          <c:showSerName val="0"/>
          <c:showPercent val="0"/>
          <c:showBubbleSize val="0"/>
        </c:dLbls>
        <c:gapWidth val="182"/>
        <c:axId val="114696144"/>
        <c:axId val="114693744"/>
      </c:barChart>
      <c:catAx>
        <c:axId val="11469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3744"/>
        <c:crosses val="autoZero"/>
        <c:auto val="1"/>
        <c:lblAlgn val="ctr"/>
        <c:lblOffset val="100"/>
        <c:noMultiLvlLbl val="0"/>
      </c:catAx>
      <c:valAx>
        <c:axId val="1146937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4696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Products!PivotTable7</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by Products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'Revenue by Products'!$B$3</c:f>
              <c:strCache>
                <c:ptCount val="1"/>
                <c:pt idx="0">
                  <c:v>Total</c:v>
                </c:pt>
              </c:strCache>
            </c:strRef>
          </c:tx>
          <c:spPr>
            <a:solidFill>
              <a:schemeClr val="accent1"/>
            </a:solidFill>
            <a:ln>
              <a:noFill/>
            </a:ln>
            <a:effectLst/>
          </c:spPr>
          <c:invertIfNegative val="0"/>
          <c:cat>
            <c:strRef>
              <c:f>'Revenue by Products'!$A$4:$A$12</c:f>
              <c:strCache>
                <c:ptCount val="8"/>
                <c:pt idx="0">
                  <c:v>TVs</c:v>
                </c:pt>
                <c:pt idx="1">
                  <c:v>Washing Machines</c:v>
                </c:pt>
                <c:pt idx="2">
                  <c:v>Tablets</c:v>
                </c:pt>
                <c:pt idx="3">
                  <c:v>Wearables</c:v>
                </c:pt>
                <c:pt idx="4">
                  <c:v>ACs</c:v>
                </c:pt>
                <c:pt idx="5">
                  <c:v>Monitors</c:v>
                </c:pt>
                <c:pt idx="6">
                  <c:v>Smartphones</c:v>
                </c:pt>
                <c:pt idx="7">
                  <c:v>Refrigerators</c:v>
                </c:pt>
              </c:strCache>
            </c:strRef>
          </c:cat>
          <c:val>
            <c:numRef>
              <c:f>'Revenue by Products'!$B$4:$B$12</c:f>
              <c:numCache>
                <c:formatCode>General</c:formatCode>
                <c:ptCount val="8"/>
                <c:pt idx="0">
                  <c:v>17601</c:v>
                </c:pt>
                <c:pt idx="1">
                  <c:v>17499</c:v>
                </c:pt>
                <c:pt idx="2">
                  <c:v>17357</c:v>
                </c:pt>
                <c:pt idx="3">
                  <c:v>17091</c:v>
                </c:pt>
                <c:pt idx="4">
                  <c:v>16830</c:v>
                </c:pt>
                <c:pt idx="5">
                  <c:v>16742</c:v>
                </c:pt>
                <c:pt idx="6">
                  <c:v>16683</c:v>
                </c:pt>
                <c:pt idx="7">
                  <c:v>15497</c:v>
                </c:pt>
              </c:numCache>
            </c:numRef>
          </c:val>
          <c:extLst>
            <c:ext xmlns:c16="http://schemas.microsoft.com/office/drawing/2014/chart" uri="{C3380CC4-5D6E-409C-BE32-E72D297353CC}">
              <c16:uniqueId val="{00000000-0541-48AD-9CB3-4E514D0ED341}"/>
            </c:ext>
          </c:extLst>
        </c:ser>
        <c:dLbls>
          <c:showLegendKey val="0"/>
          <c:showVal val="0"/>
          <c:showCatName val="0"/>
          <c:showSerName val="0"/>
          <c:showPercent val="0"/>
          <c:showBubbleSize val="0"/>
        </c:dLbls>
        <c:gapWidth val="182"/>
        <c:axId val="206894160"/>
        <c:axId val="206899920"/>
      </c:barChart>
      <c:catAx>
        <c:axId val="2068941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9920"/>
        <c:crosses val="autoZero"/>
        <c:auto val="1"/>
        <c:lblAlgn val="ctr"/>
        <c:lblOffset val="100"/>
        <c:noMultiLvlLbl val="0"/>
      </c:catAx>
      <c:valAx>
        <c:axId val="20689992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894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Divisional Revenue!PivotTable8</c:name>
    <c:fmtId val="15"/>
  </c:pivotSource>
  <c:chart>
    <c:title>
      <c:tx>
        <c:rich>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r>
              <a:rPr lang="en-US"/>
              <a:t>Year-wise Divisional Revenue</a:t>
            </a:r>
          </a:p>
        </c:rich>
      </c:tx>
      <c:overlay val="0"/>
      <c:spPr>
        <a:noFill/>
        <a:ln>
          <a:noFill/>
        </a:ln>
        <a:effectLst/>
      </c:spPr>
      <c:txPr>
        <a:bodyPr rot="0" spcFirstLastPara="1" vertOverflow="ellipsis" vert="horz" wrap="square" anchor="ctr" anchorCtr="1"/>
        <a:lstStyle/>
        <a:p>
          <a:pPr>
            <a:defRPr sz="1800" b="0" i="0" u="none" strike="noStrike" kern="1200" cap="none" spc="50" baseline="0">
              <a:solidFill>
                <a:schemeClr val="tx1">
                  <a:lumMod val="65000"/>
                  <a:lumOff val="35000"/>
                </a:schemeClr>
              </a:solidFill>
              <a:latin typeface="+mn-lt"/>
              <a:ea typeface="+mn-ea"/>
              <a:cs typeface="+mn-cs"/>
            </a:defRPr>
          </a:pPr>
          <a:endParaRPr lang="en-US"/>
        </a:p>
      </c:txPr>
    </c:title>
    <c:autoTitleDeleted val="0"/>
    <c:pivotFmts>
      <c:pivotFmt>
        <c:idx val="0"/>
        <c:spPr>
          <a:noFill/>
          <a:ln w="25400" cap="flat" cmpd="sng" algn="ctr">
            <a:solidFill>
              <a:schemeClr val="accent2"/>
            </a:solidFill>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Divisional Revenue'!$B$3</c:f>
              <c:strCache>
                <c:ptCount val="1"/>
                <c:pt idx="0">
                  <c:v>Total</c:v>
                </c:pt>
              </c:strCache>
            </c:strRef>
          </c:tx>
          <c:spPr>
            <a:noFill/>
            <a:ln w="25400" cap="flat" cmpd="sng" algn="ctr">
              <a:solidFill>
                <a:schemeClr val="accent2"/>
              </a:solidFill>
              <a:miter lim="800000"/>
            </a:ln>
            <a:effectLst/>
          </c:spPr>
          <c:invertIfNegative val="0"/>
          <c:cat>
            <c:multiLvlStrRef>
              <c:f>'Year-wise Divisional Revenue'!$A$4:$A$49</c:f>
              <c:multiLvlStrCache>
                <c:ptCount val="40"/>
                <c:lvl>
                  <c:pt idx="0">
                    <c:v>Sylhet</c:v>
                  </c:pt>
                  <c:pt idx="1">
                    <c:v>Khulna</c:v>
                  </c:pt>
                  <c:pt idx="2">
                    <c:v>Rajshahi</c:v>
                  </c:pt>
                  <c:pt idx="3">
                    <c:v>Dhaka</c:v>
                  </c:pt>
                  <c:pt idx="4">
                    <c:v>Mymensingh</c:v>
                  </c:pt>
                  <c:pt idx="5">
                    <c:v>Barisal</c:v>
                  </c:pt>
                  <c:pt idx="6">
                    <c:v>Rangpur</c:v>
                  </c:pt>
                  <c:pt idx="7">
                    <c:v>Chattogram</c:v>
                  </c:pt>
                  <c:pt idx="8">
                    <c:v>Rajshahi</c:v>
                  </c:pt>
                  <c:pt idx="9">
                    <c:v>Rangpur</c:v>
                  </c:pt>
                  <c:pt idx="10">
                    <c:v>Mymensingh</c:v>
                  </c:pt>
                  <c:pt idx="11">
                    <c:v>Chattogram</c:v>
                  </c:pt>
                  <c:pt idx="12">
                    <c:v>Dhaka</c:v>
                  </c:pt>
                  <c:pt idx="13">
                    <c:v>Sylhet</c:v>
                  </c:pt>
                  <c:pt idx="14">
                    <c:v>Barisal</c:v>
                  </c:pt>
                  <c:pt idx="15">
                    <c:v>Khulna</c:v>
                  </c:pt>
                  <c:pt idx="16">
                    <c:v>Rangpur</c:v>
                  </c:pt>
                  <c:pt idx="17">
                    <c:v>Dhaka</c:v>
                  </c:pt>
                  <c:pt idx="18">
                    <c:v>Rajshahi</c:v>
                  </c:pt>
                  <c:pt idx="19">
                    <c:v>Sylhet</c:v>
                  </c:pt>
                  <c:pt idx="20">
                    <c:v>Chattogram</c:v>
                  </c:pt>
                  <c:pt idx="21">
                    <c:v>Barisal</c:v>
                  </c:pt>
                  <c:pt idx="22">
                    <c:v>Mymensingh</c:v>
                  </c:pt>
                  <c:pt idx="23">
                    <c:v>Khulna</c:v>
                  </c:pt>
                  <c:pt idx="24">
                    <c:v>Khulna</c:v>
                  </c:pt>
                  <c:pt idx="25">
                    <c:v>Rajshahi</c:v>
                  </c:pt>
                  <c:pt idx="26">
                    <c:v>Barisal</c:v>
                  </c:pt>
                  <c:pt idx="27">
                    <c:v>Mymensingh</c:v>
                  </c:pt>
                  <c:pt idx="28">
                    <c:v>Chattogram</c:v>
                  </c:pt>
                  <c:pt idx="29">
                    <c:v>Dhaka</c:v>
                  </c:pt>
                  <c:pt idx="30">
                    <c:v>Rangpur</c:v>
                  </c:pt>
                  <c:pt idx="31">
                    <c:v>Sylhet</c:v>
                  </c:pt>
                  <c:pt idx="32">
                    <c:v>Barisal</c:v>
                  </c:pt>
                  <c:pt idx="33">
                    <c:v>Rangpur</c:v>
                  </c:pt>
                  <c:pt idx="34">
                    <c:v>Chattogram</c:v>
                  </c:pt>
                  <c:pt idx="35">
                    <c:v>Mymensingh</c:v>
                  </c:pt>
                  <c:pt idx="36">
                    <c:v>Dhaka</c:v>
                  </c:pt>
                  <c:pt idx="37">
                    <c:v>Khulna</c:v>
                  </c:pt>
                  <c:pt idx="38">
                    <c:v>Sylhet</c:v>
                  </c:pt>
                  <c:pt idx="39">
                    <c:v>Rajshahi</c:v>
                  </c:pt>
                </c:lvl>
                <c:lvl>
                  <c:pt idx="0">
                    <c:v>2020</c:v>
                  </c:pt>
                  <c:pt idx="8">
                    <c:v>2021</c:v>
                  </c:pt>
                  <c:pt idx="16">
                    <c:v>2022</c:v>
                  </c:pt>
                  <c:pt idx="24">
                    <c:v>2023</c:v>
                  </c:pt>
                  <c:pt idx="32">
                    <c:v>2024</c:v>
                  </c:pt>
                </c:lvl>
              </c:multiLvlStrCache>
            </c:multiLvlStrRef>
          </c:cat>
          <c:val>
            <c:numRef>
              <c:f>'Year-wise Divisional Revenue'!$B$4:$B$49</c:f>
              <c:numCache>
                <c:formatCode>General</c:formatCode>
                <c:ptCount val="40"/>
                <c:pt idx="0">
                  <c:v>3640</c:v>
                </c:pt>
                <c:pt idx="1">
                  <c:v>3465</c:v>
                </c:pt>
                <c:pt idx="2">
                  <c:v>3416</c:v>
                </c:pt>
                <c:pt idx="3">
                  <c:v>3367</c:v>
                </c:pt>
                <c:pt idx="4">
                  <c:v>3259</c:v>
                </c:pt>
                <c:pt idx="5">
                  <c:v>3251</c:v>
                </c:pt>
                <c:pt idx="6">
                  <c:v>3247</c:v>
                </c:pt>
                <c:pt idx="7">
                  <c:v>3236</c:v>
                </c:pt>
                <c:pt idx="8">
                  <c:v>3765</c:v>
                </c:pt>
                <c:pt idx="9">
                  <c:v>3752</c:v>
                </c:pt>
                <c:pt idx="10">
                  <c:v>3604</c:v>
                </c:pt>
                <c:pt idx="11">
                  <c:v>3571</c:v>
                </c:pt>
                <c:pt idx="12">
                  <c:v>3390</c:v>
                </c:pt>
                <c:pt idx="13">
                  <c:v>3367</c:v>
                </c:pt>
                <c:pt idx="14">
                  <c:v>3321</c:v>
                </c:pt>
                <c:pt idx="15">
                  <c:v>3176</c:v>
                </c:pt>
                <c:pt idx="16">
                  <c:v>3985</c:v>
                </c:pt>
                <c:pt idx="17">
                  <c:v>3612</c:v>
                </c:pt>
                <c:pt idx="18">
                  <c:v>3484</c:v>
                </c:pt>
                <c:pt idx="19">
                  <c:v>3414</c:v>
                </c:pt>
                <c:pt idx="20">
                  <c:v>3380</c:v>
                </c:pt>
                <c:pt idx="21">
                  <c:v>3337</c:v>
                </c:pt>
                <c:pt idx="22">
                  <c:v>3276</c:v>
                </c:pt>
                <c:pt idx="23">
                  <c:v>3174</c:v>
                </c:pt>
                <c:pt idx="24">
                  <c:v>3764</c:v>
                </c:pt>
                <c:pt idx="25">
                  <c:v>3549</c:v>
                </c:pt>
                <c:pt idx="26">
                  <c:v>3542</c:v>
                </c:pt>
                <c:pt idx="27">
                  <c:v>3516</c:v>
                </c:pt>
                <c:pt idx="28">
                  <c:v>3479</c:v>
                </c:pt>
                <c:pt idx="29">
                  <c:v>3232</c:v>
                </c:pt>
                <c:pt idx="30">
                  <c:v>3224</c:v>
                </c:pt>
                <c:pt idx="31">
                  <c:v>3049</c:v>
                </c:pt>
                <c:pt idx="32">
                  <c:v>3650</c:v>
                </c:pt>
                <c:pt idx="33">
                  <c:v>3218</c:v>
                </c:pt>
                <c:pt idx="34">
                  <c:v>3135</c:v>
                </c:pt>
                <c:pt idx="35">
                  <c:v>3119</c:v>
                </c:pt>
                <c:pt idx="36">
                  <c:v>3103</c:v>
                </c:pt>
                <c:pt idx="37">
                  <c:v>3103</c:v>
                </c:pt>
                <c:pt idx="38">
                  <c:v>3081</c:v>
                </c:pt>
                <c:pt idx="39">
                  <c:v>3047</c:v>
                </c:pt>
              </c:numCache>
            </c:numRef>
          </c:val>
          <c:extLst>
            <c:ext xmlns:c16="http://schemas.microsoft.com/office/drawing/2014/chart" uri="{C3380CC4-5D6E-409C-BE32-E72D297353CC}">
              <c16:uniqueId val="{00000000-FC9A-4AC1-B46F-CA8C40D74EF5}"/>
            </c:ext>
          </c:extLst>
        </c:ser>
        <c:dLbls>
          <c:showLegendKey val="0"/>
          <c:showVal val="0"/>
          <c:showCatName val="0"/>
          <c:showSerName val="0"/>
          <c:showPercent val="0"/>
          <c:showBubbleSize val="0"/>
        </c:dLbls>
        <c:gapWidth val="164"/>
        <c:overlap val="-35"/>
        <c:axId val="206908080"/>
        <c:axId val="206900400"/>
      </c:barChart>
      <c:catAx>
        <c:axId val="206908080"/>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900400"/>
        <c:crosses val="autoZero"/>
        <c:auto val="1"/>
        <c:lblAlgn val="ctr"/>
        <c:lblOffset val="100"/>
        <c:noMultiLvlLbl val="0"/>
      </c:catAx>
      <c:valAx>
        <c:axId val="2069004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20690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Mahin-Project1_macro.xlsm]Division-wise yearly Revenue!PivotTable9</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Division-wise yearly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lumMod val="60000"/>
              </a:schemeClr>
            </a:solidFill>
            <a:ln w="9525">
              <a:solidFill>
                <a:schemeClr val="accent1">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'Division-wise yearly Revenue'!$B$3:$B$4</c:f>
              <c:strCache>
                <c:ptCount val="1"/>
                <c:pt idx="0">
                  <c:v>Barisal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Revenue'!$B$5:$B$10</c:f>
              <c:numCache>
                <c:formatCode>General</c:formatCode>
                <c:ptCount val="5"/>
                <c:pt idx="0">
                  <c:v>3251</c:v>
                </c:pt>
                <c:pt idx="1">
                  <c:v>3321</c:v>
                </c:pt>
                <c:pt idx="2">
                  <c:v>3337</c:v>
                </c:pt>
                <c:pt idx="3">
                  <c:v>3542</c:v>
                </c:pt>
                <c:pt idx="4">
                  <c:v>3650</c:v>
                </c:pt>
              </c:numCache>
            </c:numRef>
          </c:val>
          <c:smooth val="0"/>
          <c:extLst>
            <c:ext xmlns:c16="http://schemas.microsoft.com/office/drawing/2014/chart" uri="{C3380CC4-5D6E-409C-BE32-E72D297353CC}">
              <c16:uniqueId val="{00000000-A618-45B1-86F5-C8E9BF55ED18}"/>
            </c:ext>
          </c:extLst>
        </c:ser>
        <c:ser>
          <c:idx val="1"/>
          <c:order val="1"/>
          <c:tx>
            <c:strRef>
              <c:f>'Division-wise yearly Revenue'!$C$3:$C$4</c:f>
              <c:strCache>
                <c:ptCount val="1"/>
                <c:pt idx="0">
                  <c:v>Chattogram</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Revenue'!$C$5:$C$10</c:f>
              <c:numCache>
                <c:formatCode>General</c:formatCode>
                <c:ptCount val="5"/>
                <c:pt idx="0">
                  <c:v>3236</c:v>
                </c:pt>
                <c:pt idx="1">
                  <c:v>3571</c:v>
                </c:pt>
                <c:pt idx="2">
                  <c:v>3380</c:v>
                </c:pt>
                <c:pt idx="3">
                  <c:v>3479</c:v>
                </c:pt>
                <c:pt idx="4">
                  <c:v>3135</c:v>
                </c:pt>
              </c:numCache>
            </c:numRef>
          </c:val>
          <c:smooth val="0"/>
          <c:extLst>
            <c:ext xmlns:c16="http://schemas.microsoft.com/office/drawing/2014/chart" uri="{C3380CC4-5D6E-409C-BE32-E72D297353CC}">
              <c16:uniqueId val="{00000009-A618-45B1-86F5-C8E9BF55ED18}"/>
            </c:ext>
          </c:extLst>
        </c:ser>
        <c:ser>
          <c:idx val="2"/>
          <c:order val="2"/>
          <c:tx>
            <c:strRef>
              <c:f>'Division-wise yearly Revenue'!$D$3:$D$4</c:f>
              <c:strCache>
                <c:ptCount val="1"/>
                <c:pt idx="0">
                  <c:v>Dhaka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Revenue'!$D$5:$D$10</c:f>
              <c:numCache>
                <c:formatCode>General</c:formatCode>
                <c:ptCount val="5"/>
                <c:pt idx="0">
                  <c:v>3367</c:v>
                </c:pt>
                <c:pt idx="1">
                  <c:v>3390</c:v>
                </c:pt>
                <c:pt idx="2">
                  <c:v>3612</c:v>
                </c:pt>
                <c:pt idx="3">
                  <c:v>3232</c:v>
                </c:pt>
                <c:pt idx="4">
                  <c:v>3103</c:v>
                </c:pt>
              </c:numCache>
            </c:numRef>
          </c:val>
          <c:smooth val="0"/>
          <c:extLst>
            <c:ext xmlns:c16="http://schemas.microsoft.com/office/drawing/2014/chart" uri="{C3380CC4-5D6E-409C-BE32-E72D297353CC}">
              <c16:uniqueId val="{0000000A-A618-45B1-86F5-C8E9BF55ED18}"/>
            </c:ext>
          </c:extLst>
        </c:ser>
        <c:ser>
          <c:idx val="3"/>
          <c:order val="3"/>
          <c:tx>
            <c:strRef>
              <c:f>'Division-wise yearly Revenue'!$E$3:$E$4</c:f>
              <c:strCache>
                <c:ptCount val="1"/>
                <c:pt idx="0">
                  <c:v>Khulna</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Revenue'!$E$5:$E$10</c:f>
              <c:numCache>
                <c:formatCode>General</c:formatCode>
                <c:ptCount val="5"/>
                <c:pt idx="0">
                  <c:v>3465</c:v>
                </c:pt>
                <c:pt idx="1">
                  <c:v>3176</c:v>
                </c:pt>
                <c:pt idx="2">
                  <c:v>3174</c:v>
                </c:pt>
                <c:pt idx="3">
                  <c:v>3764</c:v>
                </c:pt>
                <c:pt idx="4">
                  <c:v>3103</c:v>
                </c:pt>
              </c:numCache>
            </c:numRef>
          </c:val>
          <c:smooth val="0"/>
          <c:extLst>
            <c:ext xmlns:c16="http://schemas.microsoft.com/office/drawing/2014/chart" uri="{C3380CC4-5D6E-409C-BE32-E72D297353CC}">
              <c16:uniqueId val="{0000000B-A618-45B1-86F5-C8E9BF55ED18}"/>
            </c:ext>
          </c:extLst>
        </c:ser>
        <c:ser>
          <c:idx val="4"/>
          <c:order val="4"/>
          <c:tx>
            <c:strRef>
              <c:f>'Division-wise yearly Revenue'!$F$3:$F$4</c:f>
              <c:strCache>
                <c:ptCount val="1"/>
                <c:pt idx="0">
                  <c:v>Mymensingh</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Revenue'!$F$5:$F$10</c:f>
              <c:numCache>
                <c:formatCode>General</c:formatCode>
                <c:ptCount val="5"/>
                <c:pt idx="0">
                  <c:v>3259</c:v>
                </c:pt>
                <c:pt idx="1">
                  <c:v>3604</c:v>
                </c:pt>
                <c:pt idx="2">
                  <c:v>3276</c:v>
                </c:pt>
                <c:pt idx="3">
                  <c:v>3516</c:v>
                </c:pt>
                <c:pt idx="4">
                  <c:v>3119</c:v>
                </c:pt>
              </c:numCache>
            </c:numRef>
          </c:val>
          <c:smooth val="0"/>
          <c:extLst>
            <c:ext xmlns:c16="http://schemas.microsoft.com/office/drawing/2014/chart" uri="{C3380CC4-5D6E-409C-BE32-E72D297353CC}">
              <c16:uniqueId val="{0000000C-A618-45B1-86F5-C8E9BF55ED18}"/>
            </c:ext>
          </c:extLst>
        </c:ser>
        <c:ser>
          <c:idx val="5"/>
          <c:order val="5"/>
          <c:tx>
            <c:strRef>
              <c:f>'Division-wise yearly Revenue'!$G$3:$G$4</c:f>
              <c:strCache>
                <c:ptCount val="1"/>
                <c:pt idx="0">
                  <c:v>Rajshahi</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Revenue'!$G$5:$G$10</c:f>
              <c:numCache>
                <c:formatCode>General</c:formatCode>
                <c:ptCount val="5"/>
                <c:pt idx="0">
                  <c:v>3416</c:v>
                </c:pt>
                <c:pt idx="1">
                  <c:v>3765</c:v>
                </c:pt>
                <c:pt idx="2">
                  <c:v>3484</c:v>
                </c:pt>
                <c:pt idx="3">
                  <c:v>3549</c:v>
                </c:pt>
                <c:pt idx="4">
                  <c:v>3047</c:v>
                </c:pt>
              </c:numCache>
            </c:numRef>
          </c:val>
          <c:smooth val="0"/>
          <c:extLst>
            <c:ext xmlns:c16="http://schemas.microsoft.com/office/drawing/2014/chart" uri="{C3380CC4-5D6E-409C-BE32-E72D297353CC}">
              <c16:uniqueId val="{0000000D-A618-45B1-86F5-C8E9BF55ED18}"/>
            </c:ext>
          </c:extLst>
        </c:ser>
        <c:ser>
          <c:idx val="6"/>
          <c:order val="6"/>
          <c:tx>
            <c:strRef>
              <c:f>'Division-wise yearly Revenue'!$H$3:$H$4</c:f>
              <c:strCache>
                <c:ptCount val="1"/>
                <c:pt idx="0">
                  <c:v>Rangpur</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Revenue'!$H$5:$H$10</c:f>
              <c:numCache>
                <c:formatCode>General</c:formatCode>
                <c:ptCount val="5"/>
                <c:pt idx="0">
                  <c:v>3247</c:v>
                </c:pt>
                <c:pt idx="1">
                  <c:v>3752</c:v>
                </c:pt>
                <c:pt idx="2">
                  <c:v>3985</c:v>
                </c:pt>
                <c:pt idx="3">
                  <c:v>3224</c:v>
                </c:pt>
                <c:pt idx="4">
                  <c:v>3218</c:v>
                </c:pt>
              </c:numCache>
            </c:numRef>
          </c:val>
          <c:smooth val="0"/>
          <c:extLst>
            <c:ext xmlns:c16="http://schemas.microsoft.com/office/drawing/2014/chart" uri="{C3380CC4-5D6E-409C-BE32-E72D297353CC}">
              <c16:uniqueId val="{0000000E-A618-45B1-86F5-C8E9BF55ED18}"/>
            </c:ext>
          </c:extLst>
        </c:ser>
        <c:ser>
          <c:idx val="7"/>
          <c:order val="7"/>
          <c:tx>
            <c:strRef>
              <c:f>'Division-wise yearly Revenue'!$I$3:$I$4</c:f>
              <c:strCache>
                <c:ptCount val="1"/>
                <c:pt idx="0">
                  <c:v>Sylhet</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'Division-wise yearly Revenue'!$A$5:$A$10</c:f>
              <c:strCache>
                <c:ptCount val="5"/>
                <c:pt idx="0">
                  <c:v>2020</c:v>
                </c:pt>
                <c:pt idx="1">
                  <c:v>2021</c:v>
                </c:pt>
                <c:pt idx="2">
                  <c:v>2022</c:v>
                </c:pt>
                <c:pt idx="3">
                  <c:v>2023</c:v>
                </c:pt>
                <c:pt idx="4">
                  <c:v>2024</c:v>
                </c:pt>
              </c:strCache>
            </c:strRef>
          </c:cat>
          <c:val>
            <c:numRef>
              <c:f>'Division-wise yearly Revenue'!$I$5:$I$10</c:f>
              <c:numCache>
                <c:formatCode>General</c:formatCode>
                <c:ptCount val="5"/>
                <c:pt idx="0">
                  <c:v>3640</c:v>
                </c:pt>
                <c:pt idx="1">
                  <c:v>3367</c:v>
                </c:pt>
                <c:pt idx="2">
                  <c:v>3414</c:v>
                </c:pt>
                <c:pt idx="3">
                  <c:v>3049</c:v>
                </c:pt>
                <c:pt idx="4">
                  <c:v>3081</c:v>
                </c:pt>
              </c:numCache>
            </c:numRef>
          </c:val>
          <c:smooth val="0"/>
          <c:extLst>
            <c:ext xmlns:c16="http://schemas.microsoft.com/office/drawing/2014/chart" uri="{C3380CC4-5D6E-409C-BE32-E72D297353CC}">
              <c16:uniqueId val="{0000000F-A618-45B1-86F5-C8E9BF55ED18}"/>
            </c:ext>
          </c:extLst>
        </c:ser>
        <c:dLbls>
          <c:showLegendKey val="0"/>
          <c:showVal val="0"/>
          <c:showCatName val="0"/>
          <c:showSerName val="0"/>
          <c:showPercent val="0"/>
          <c:showBubbleSize val="0"/>
        </c:dLbls>
        <c:marker val="1"/>
        <c:smooth val="0"/>
        <c:axId val="206915760"/>
        <c:axId val="206917680"/>
      </c:lineChart>
      <c:catAx>
        <c:axId val="2069157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17680"/>
        <c:crosses val="autoZero"/>
        <c:auto val="1"/>
        <c:lblAlgn val="ctr"/>
        <c:lblOffset val="100"/>
        <c:noMultiLvlLbl val="0"/>
      </c:catAx>
      <c:valAx>
        <c:axId val="206917680"/>
        <c:scaling>
          <c:orientation val="minMax"/>
          <c:min val="2500"/>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915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Mahin-Project1_macro.xlsm]Revenue by Payment Method!PivotTable10</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Payment</a:t>
            </a:r>
            <a:r>
              <a:rPr lang="en-US" baseline="0"/>
              <a:t> Method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'Revenue by Payment Method'!$B$3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7A-45C5-BD32-0C352FB934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07A-45C5-BD32-0C352FB934B5}"/>
              </c:ext>
            </c:extLst>
          </c:dPt>
          <c:cat>
            <c:strRef>
              <c:f>'Revenue by Payment Method'!$A$4:$A$6</c:f>
              <c:strCache>
                <c:ptCount val="2"/>
                <c:pt idx="0">
                  <c:v>Offline</c:v>
                </c:pt>
                <c:pt idx="1">
                  <c:v>Online</c:v>
                </c:pt>
              </c:strCache>
            </c:strRef>
          </c:cat>
          <c:val>
            <c:numRef>
              <c:f>'Revenue by Payment Method'!$B$4:$B$6</c:f>
              <c:numCache>
                <c:formatCode>General</c:formatCode>
                <c:ptCount val="2"/>
                <c:pt idx="0">
                  <c:v>68689</c:v>
                </c:pt>
                <c:pt idx="1">
                  <c:v>66611</c:v>
                </c:pt>
              </c:numCache>
            </c:numRef>
          </c:val>
          <c:extLst>
            <c:ext xmlns:c16="http://schemas.microsoft.com/office/drawing/2014/chart" uri="{C3380CC4-5D6E-409C-BE32-E72D297353CC}">
              <c16:uniqueId val="{00000000-C5F7-466F-BF48-401E70DB51A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Year!PivotTable11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By Year</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'Profit By Year'!$B$3</c:f>
              <c:strCache>
                <c:ptCount val="1"/>
                <c:pt idx="0">
                  <c:v>Total</c:v>
                </c:pt>
              </c:strCache>
            </c:strRef>
          </c:tx>
          <c:spPr>
            <a:solidFill>
              <a:schemeClr val="accent1"/>
            </a:solidFill>
            <a:ln>
              <a:noFill/>
            </a:ln>
            <a:effectLst/>
          </c:spPr>
          <c:invertIfNegative val="0"/>
          <c:cat>
            <c:strRef>
              <c:f>'Profit By Year'!$A$4:$A$9</c:f>
              <c:strCache>
                <c:ptCount val="5"/>
                <c:pt idx="0">
                  <c:v>2020</c:v>
                </c:pt>
                <c:pt idx="1">
                  <c:v>2021</c:v>
                </c:pt>
                <c:pt idx="2">
                  <c:v>2022</c:v>
                </c:pt>
                <c:pt idx="3">
                  <c:v>2023</c:v>
                </c:pt>
                <c:pt idx="4">
                  <c:v>2024</c:v>
                </c:pt>
              </c:strCache>
            </c:strRef>
          </c:cat>
          <c:val>
            <c:numRef>
              <c:f>'Profit By Year'!$B$4:$B$9</c:f>
              <c:numCache>
                <c:formatCode>General</c:formatCode>
                <c:ptCount val="5"/>
                <c:pt idx="0">
                  <c:v>7409</c:v>
                </c:pt>
                <c:pt idx="1">
                  <c:v>8219</c:v>
                </c:pt>
                <c:pt idx="2">
                  <c:v>7686</c:v>
                </c:pt>
                <c:pt idx="3">
                  <c:v>7585</c:v>
                </c:pt>
                <c:pt idx="4">
                  <c:v>7789</c:v>
                </c:pt>
              </c:numCache>
            </c:numRef>
          </c:val>
          <c:extLst>
            <c:ext xmlns:c16="http://schemas.microsoft.com/office/drawing/2014/chart" uri="{C3380CC4-5D6E-409C-BE32-E72D297353CC}">
              <c16:uniqueId val="{00000000-BBEA-4717-B009-AFD5C6CD9D4C}"/>
            </c:ext>
          </c:extLst>
        </c:ser>
        <c:dLbls>
          <c:showLegendKey val="0"/>
          <c:showVal val="0"/>
          <c:showCatName val="0"/>
          <c:showSerName val="0"/>
          <c:showPercent val="0"/>
          <c:showBubbleSize val="0"/>
        </c:dLbls>
        <c:gapWidth val="219"/>
        <c:overlap val="-27"/>
        <c:axId val="343330736"/>
        <c:axId val="343319216"/>
      </c:barChart>
      <c:catAx>
        <c:axId val="3433307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19216"/>
        <c:crosses val="autoZero"/>
        <c:auto val="1"/>
        <c:lblAlgn val="ctr"/>
        <c:lblOffset val="100"/>
        <c:noMultiLvlLbl val="0"/>
      </c:catAx>
      <c:valAx>
        <c:axId val="34331921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33307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Mahin-Project1_macro.xlsm]Year-wise Revenue &amp; Profit!PivotTable13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Year-wise</a:t>
            </a:r>
            <a:r>
              <a:rPr lang="en-US" baseline="0"/>
              <a:t> Revenue &amp; Profit</a:t>
            </a:r>
            <a:endParaRPr lang="en-US"/>
          </a:p>
        </c:rich>
      </c:tx>
      <c:layout>
        <c:manualLayout>
          <c:xMode val="edge"/>
          <c:yMode val="edge"/>
          <c:x val="0.33964566929133855"/>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'Year-wise Revenue &amp; Profit'!$B$3</c:f>
              <c:strCache>
                <c:ptCount val="1"/>
                <c:pt idx="0">
                  <c:v>Sum of Revenue (BDT Cr)</c:v>
                </c:pt>
              </c:strCache>
            </c:strRef>
          </c:tx>
          <c:spPr>
            <a:solidFill>
              <a:schemeClr val="accent1"/>
            </a:solidFill>
            <a:ln>
              <a:noFill/>
            </a:ln>
            <a:effectLst/>
          </c:spPr>
          <c:invertIfNegative val="0"/>
          <c:cat>
            <c:strRef>
              <c:f>'Year-wise Revenue &amp; Profit'!$A$4:$A$9</c:f>
              <c:strCache>
                <c:ptCount val="5"/>
                <c:pt idx="0">
                  <c:v>2020</c:v>
                </c:pt>
                <c:pt idx="1">
                  <c:v>2021</c:v>
                </c:pt>
                <c:pt idx="2">
                  <c:v>2022</c:v>
                </c:pt>
                <c:pt idx="3">
                  <c:v>2023</c:v>
                </c:pt>
                <c:pt idx="4">
                  <c:v>2024</c:v>
                </c:pt>
              </c:strCache>
            </c:strRef>
          </c:cat>
          <c:val>
            <c:numRef>
              <c:f>'Year-wise Revenue &amp; Profit'!$B$4:$B$9</c:f>
              <c:numCache>
                <c:formatCode>General</c:formatCode>
                <c:ptCount val="5"/>
                <c:pt idx="0">
                  <c:v>26881</c:v>
                </c:pt>
                <c:pt idx="1">
                  <c:v>27946</c:v>
                </c:pt>
                <c:pt idx="2">
                  <c:v>27662</c:v>
                </c:pt>
                <c:pt idx="3">
                  <c:v>27355</c:v>
                </c:pt>
                <c:pt idx="4">
                  <c:v>25456</c:v>
                </c:pt>
              </c:numCache>
            </c:numRef>
          </c:val>
          <c:extLst>
            <c:ext xmlns:c16="http://schemas.microsoft.com/office/drawing/2014/chart" uri="{C3380CC4-5D6E-409C-BE32-E72D297353CC}">
              <c16:uniqueId val="{00000000-8360-47A5-A681-B90BABBE1C1C}"/>
            </c:ext>
          </c:extLst>
        </c:ser>
        <c:dLbls>
          <c:showLegendKey val="0"/>
          <c:showVal val="0"/>
          <c:showCatName val="0"/>
          <c:showSerName val="0"/>
          <c:showPercent val="0"/>
          <c:showBubbleSize val="0"/>
        </c:dLbls>
        <c:gapWidth val="219"/>
        <c:overlap val="-27"/>
        <c:axId val="399436336"/>
        <c:axId val="399423856"/>
      </c:barChart>
      <c:lineChart>
        <c:grouping val="standard"/>
        <c:varyColors val="0"/>
        <c:ser>
          <c:idx val="1"/>
          <c:order val="1"/>
          <c:tx>
            <c:strRef>
              <c:f>'Year-wise Revenue &amp; Profit'!$C$3</c:f>
              <c:strCache>
                <c:ptCount val="1"/>
                <c:pt idx="0">
                  <c:v>Sum of Profit (BDT Cr)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'Year-wise Revenue &amp; Profit'!$A$4:$A$9</c:f>
              <c:strCache>
                <c:ptCount val="5"/>
                <c:pt idx="0">
                  <c:v>2020</c:v>
                </c:pt>
                <c:pt idx="1">
                  <c:v>2021</c:v>
                </c:pt>
                <c:pt idx="2">
                  <c:v>2022</c:v>
                </c:pt>
                <c:pt idx="3">
                  <c:v>2023</c:v>
                </c:pt>
                <c:pt idx="4">
                  <c:v>2024</c:v>
                </c:pt>
              </c:strCache>
            </c:strRef>
          </c:cat>
          <c:val>
            <c:numRef>
              <c:f>'Year-wise Revenue &amp; Profit'!$C$4:$C$9</c:f>
              <c:numCache>
                <c:formatCode>General</c:formatCode>
                <c:ptCount val="5"/>
                <c:pt idx="0">
                  <c:v>7409</c:v>
                </c:pt>
                <c:pt idx="1">
                  <c:v>8219</c:v>
                </c:pt>
                <c:pt idx="2">
                  <c:v>7686</c:v>
                </c:pt>
                <c:pt idx="3">
                  <c:v>7585</c:v>
                </c:pt>
                <c:pt idx="4">
                  <c:v>7789</c:v>
                </c:pt>
              </c:numCache>
            </c:numRef>
          </c:val>
          <c:smooth val="0"/>
          <c:extLst>
            <c:ext xmlns:c16="http://schemas.microsoft.com/office/drawing/2014/chart" uri="{C3380CC4-5D6E-409C-BE32-E72D297353CC}">
              <c16:uniqueId val="{00000001-8360-47A5-A681-B90BABBE1C1C}"/>
            </c:ext>
          </c:extLst>
        </c:ser>
        <c:dLbls>
          <c:showLegendKey val="0"/>
          <c:showVal val="0"/>
          <c:showCatName val="0"/>
          <c:showSerName val="0"/>
          <c:showPercent val="0"/>
          <c:showBubbleSize val="0"/>
        </c:dLbls>
        <c:marker val="1"/>
        <c:smooth val="0"/>
        <c:axId val="399436336"/>
        <c:axId val="399423856"/>
      </c:lineChart>
      <c:catAx>
        <c:axId val="39943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23856"/>
        <c:crosses val="autoZero"/>
        <c:auto val="1"/>
        <c:lblAlgn val="ctr"/>
        <c:lblOffset val="100"/>
        <c:noMultiLvlLbl val="0"/>
      </c:catAx>
      <c:valAx>
        <c:axId val="39942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436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Order Method !PivotTable16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a:t>
            </a:r>
            <a:r>
              <a:rPr lang="en-US" baseline="0"/>
              <a:t> </a:t>
            </a:r>
            <a:r>
              <a:rPr lang="en-US"/>
              <a:t>Order</a:t>
            </a:r>
            <a:r>
              <a:rPr lang="en-US" baseline="0"/>
              <a:t> Method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0.12579451006124234"/>
              <c:y val="-1.651356080489938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0.14845013123359579"/>
              <c:y val="-8.2771945173519979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'Profit by Order Method '!$B$3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9ED4-44CC-8FA3-BB3A9A23A88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ED4-44CC-8FA3-BB3A9A23A889}"/>
              </c:ext>
            </c:extLst>
          </c:dPt>
          <c:dLbls>
            <c:dLbl>
              <c:idx val="0"/>
              <c:layout>
                <c:manualLayout>
                  <c:x val="-0.12579451006124234"/>
                  <c:y val="-1.6513560804899387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ED4-44CC-8FA3-BB3A9A23A889}"/>
                </c:ext>
              </c:extLst>
            </c:dLbl>
            <c:dLbl>
              <c:idx val="1"/>
              <c:layout>
                <c:manualLayout>
                  <c:x val="0.14845013123359579"/>
                  <c:y val="-8.2771945173519979E-3"/>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ED4-44CC-8FA3-BB3A9A23A8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'Profit by Order Method '!$A$4:$A$6</c:f>
              <c:strCache>
                <c:ptCount val="2"/>
                <c:pt idx="0">
                  <c:v>Offline</c:v>
                </c:pt>
                <c:pt idx="1">
                  <c:v>Online</c:v>
                </c:pt>
              </c:strCache>
            </c:strRef>
          </c:cat>
          <c:val>
            <c:numRef>
              <c:f>'Profit by Order Method '!$B$4:$B$6</c:f>
              <c:numCache>
                <c:formatCode>General</c:formatCode>
                <c:ptCount val="2"/>
                <c:pt idx="0">
                  <c:v>19534</c:v>
                </c:pt>
                <c:pt idx="1">
                  <c:v>19154</c:v>
                </c:pt>
              </c:numCache>
            </c:numRef>
          </c:val>
          <c:extLst>
            <c:ext xmlns:c16="http://schemas.microsoft.com/office/drawing/2014/chart" uri="{C3380CC4-5D6E-409C-BE32-E72D297353CC}">
              <c16:uniqueId val="{00000000-9ED4-44CC-8FA3-BB3A9A23A889}"/>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[Musa Ahammed Mahin-Project1_macro.xlsm]Profit by Product!PivotTable18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 by</a:t>
            </a:r>
            <a:r>
              <a:rPr lang="en-US" baseline="0"/>
              <a:t>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'Profit by Product'!$B$3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'Profit by Product'!$A$4:$A$12</c:f>
              <c:strCache>
                <c:ptCount val="8"/>
                <c:pt idx="0">
                  <c:v>ACs</c:v>
                </c:pt>
                <c:pt idx="1">
                  <c:v>Monitors</c:v>
                </c:pt>
                <c:pt idx="2">
                  <c:v>Refrigerators</c:v>
                </c:pt>
                <c:pt idx="3">
                  <c:v>Smartphones</c:v>
                </c:pt>
                <c:pt idx="4">
                  <c:v>Tablets</c:v>
                </c:pt>
                <c:pt idx="5">
                  <c:v>TVs</c:v>
                </c:pt>
                <c:pt idx="6">
                  <c:v>Washing Machines</c:v>
                </c:pt>
                <c:pt idx="7">
                  <c:v>Wearables</c:v>
                </c:pt>
              </c:strCache>
            </c:strRef>
          </c:cat>
          <c:val>
            <c:numRef>
              <c:f>'Profit by Product'!$B$4:$B$12</c:f>
              <c:numCache>
                <c:formatCode>General</c:formatCode>
                <c:ptCount val="8"/>
                <c:pt idx="0">
                  <c:v>5011</c:v>
                </c:pt>
                <c:pt idx="1">
                  <c:v>5036</c:v>
                </c:pt>
                <c:pt idx="2">
                  <c:v>4531</c:v>
                </c:pt>
                <c:pt idx="3">
                  <c:v>4562</c:v>
                </c:pt>
                <c:pt idx="4">
                  <c:v>4781</c:v>
                </c:pt>
                <c:pt idx="5">
                  <c:v>5041</c:v>
                </c:pt>
                <c:pt idx="6">
                  <c:v>5031</c:v>
                </c:pt>
                <c:pt idx="7">
                  <c:v>4695</c:v>
                </c:pt>
              </c:numCache>
            </c:numRef>
          </c:val>
          <c:smooth val="0"/>
          <c:extLst>
            <c:ext xmlns:c16="http://schemas.microsoft.com/office/drawing/2014/chart" uri="{C3380CC4-5D6E-409C-BE32-E72D297353CC}">
              <c16:uniqueId val="{00000000-0712-4DE8-AE05-9444388C9618}"/>
            </c:ext>
          </c:extLst>
        </c:ser>
        <c:dLbls>
          <c:showLegendKey val="0"/>
          <c:showVal val="0"/>
          <c:showCatName val="0"/>
          <c:showSerName val="0"/>
          <c:showPercent val="0"/>
          <c:showBubbleSize val="0"/>
        </c:dLbls>
        <c:marker val="1"/>
        <c:smooth val="0"/>
        <c:axId val="399340336"/>
        <c:axId val="399350416"/>
      </c:lineChart>
      <c:catAx>
        <c:axId val="399340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50416"/>
        <c:crosses val="autoZero"/>
        <c:auto val="1"/>
        <c:lblAlgn val="ctr"/>
        <c:lblOffset val="100"/>
        <c:noMultiLvlLbl val="0"/>
      </c:catAx>
      <c:valAx>
        <c:axId val="399350416"/>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3403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title pos="t" align="ctr" overlay="0">
      <cx:tx>
        <cx:txData>
          <cx:v>Profit by Division</cx:v>
        </cx:txData>
      </cx:tx>
      <cx:txPr>
        <a:bodyPr spcFirstLastPara="1" vertOverflow="ellipsis" horzOverflow="overflow" wrap="square" lIns="0" tIns="0" rIns="0" bIns="0" anchor="ctr" anchorCtr="1"/>
        <a:lstStyle/>
        <a:p>
          <a:pPr algn="ctr" rtl="0">
            <a:defRPr>
              <a:solidFill>
                <a:schemeClr val="bg1"/>
              </a:solidFill>
            </a:defRPr>
          </a:pPr>
          <a:r>
            <a:rPr lang="en-US" sz="1400" b="0" i="0" u="none" strike="noStrike" baseline="0">
              <a:solidFill>
                <a:schemeClr val="bg1"/>
              </a:solidFill>
              <a:latin typeface="Aptos Narrow" panose="02110004020202020204"/>
            </a:rPr>
            <a:t>Profit by Division</a:t>
          </a:r>
        </a:p>
      </cx:txPr>
    </cx:title>
    <cx:plotArea>
      <cx:plotAreaRegion>
        <cx:series layoutId="regionMap" uniqueId="{D63298C1-47CD-4CA5-96BA-6A56E16A1509}">
          <cx:tx>
            <cx:txData>
              <cx:f>_xlchart.v5.2</cx:f>
              <cx:v>Sum of Profit (BDT Cr)</cx:v>
            </cx:txData>
          </cx:tx>
          <cx:dataId val="0"/>
          <cx:layoutPr>
            <cx:geography cultureLanguage="en-US" cultureRegion="US" attribution="Powered by Bing">
              <cx:geoCache provider="{E9337A44-BEBE-4D9F-B70C-5C5E7DAFC167}">
                <cx:binary>1HvZctxIsuWvlNXzQBX70tZ9HwK5MrmJ1P4CI7UgsAaACKxv99/mw8ZTKlWJKTZ5y6ZsbFomUcxE
IiPC1+PHHf/8OP3jY/n5rvtlqsra/+Pj9K9fbQjNP377zX+0n6s7/6LKPnbOuy/hxUdX/ea+fMk+
fv7tU3c3ZnX6G0GY/fbR3nXh8/Trf/0Tvi397M7dx7uQufpl/7mbbz77vgz+iWuPXvrl7lOV1avM
hy77GPC/fjV3Xebvyl9/+VyHLMyv5ubzv3598KFff/nt9Kt+WvaXEnYW+k9wLyEvGOVCUIL1tz+/
/lK6Ov39skYvCKWCSPr7Zfl96cu7Cm7/up///d9Pbujrdu4+feo+ew8H+vr/j3c+2P6PFz66vg5H
2aUgxuOFOi3vPn329tdfMu/ib1djdzyGWX09928PRf9f/zx5AyRx8s4P2jkV23OXflJObO9CcGl3
V30X0t+jH4mpFOxx/eAXShHKmaTftHein//Zlh7X0I/3nujox0v/aVpa2bvi7m9UEHuBpJBKan7q
OZhgzjVm6Osf8n3Nb57z7DYeV8rvt53o4/d3/9NUcbB9Wf+duiAvlEZaIKEf6ELpFxRjgZlW37wE
VPUtgH7TxfP7eFwZ3+870cb3t//T1HE7l/Zz+C6avyF2sRcSc4LQv41dQgisKJPfPOQkdj2/nce1
8v2+E618f/s/TSsXc/W59gAzIO39bVmfvVAMMaao+iM4Pcz6TAvFMKPfLtPvS3/zlz+39MsqGzIP
6fn7Bx6zmsfV9OiXnOjs0c/8pynw5i739s5mT4noL4I2/gJzhZVU4jHQBuEOcYKlZCd6+5/s5HFl
/XnniYb+vPCfp5Y6bfrub9WKokeHwfJxrXxf6psT3QCchfX/Lzzo52/4STmnS/z/rqQn9vdj7Hvw
sb9a8dAXCjwDaf47ZH6IFY4VD4eCR33HCuqh2n6sQv79lh73oh/vfXCE/xfFzb8vfP6oD1d34W79
tbD8ofZ5+urXg0K1e3LrU5nqm9T2n/71K0ZHhCwgSv1Rsx6/5wE2+7HUeOzOz3c+/OtXTV4ISYVA
oDhKEMWAtsfPX6+gF5xppCQnDBIaEnCldl2wUPuyF1RwQO6IK0VB4/jXX7zrv15CLyRlGGsGAObr
N/5R11+7ck5d/YdYfn/9S91X1y6rg4dzwRc13z52PKZUSGCoECRjmnMiNBZw/ePdDST146f/F86x
9zMu/A47q8+mdgzbRrck5sXYnRWCXnfZOLy3WFXreRR0n0RNncd4HL35QXaP7QROe7oThQjHWjAC
ZQtDD3cyVEsoIqq7XZUNnyc7oWvM6uaqrpfsFSkUM1Vab0ldhF3ZyXXW46I0runPi2Hk32rwbyX4
Y3s5nvqhVAjFDMpXkDSgQAKe9qNUqAsoybxod7mwSZwnTBxaW9SbYbAHFLj+mI0YEzOT2bWmSTJ3
aKVIt/Vyt7CBrAvu2CFaMNnM41SbbJjn22ekxX7eoeJIUVAaohJ+e7jDqfUFHpbgd34JEzIaDatR
JtJvSUbpWddnZKsm6uOmWKhRZSbjvMPDVvLFvnE6F+9z7tnnIhqkek544CQPhMcZxZJgJiBaaQoI
+uHWmmhpG92IZlcEXcY1r2qjReZuyqkJrzkv3W23zMmHlNDkUyOz5k5lxWLyRQ2vCzQtG5SLef20
uI7S+FGfX7cEu5Lo6HAKHaX5g5UP06IWGfFmh/pInWPUl1cIWLYNsnVn8gpXwQQ9DVuc9c+K49TD
YG2COKZYIA4bOLWlunRVE8IIayMZjzKUnyIr2UqiVq+GMuAVTpPadGUQq6xq9K6vymbdtJ19+bQM
IHmcyoAwpASXQJtJQAMPZTAOndU56bvdlC0vZyfnboUGzg8D0dV6CMJe+hFguen0XO+TOdk9vfwj
KiBHg0VHKWgtj+7/gwrc7HIydGm368KCL3mdyNUg2rtG51HcpE0ac1pHmzwL7jl7PA0soAAK8U1y
iCma/KT8IsIdw23rdjrFzR2d2EY3GSg8RfLK1XNq5qUpD3oaqyru82UY4qobrns38MOExmH7tBzo
I/ZAoYThSjOuBD0VBPdTiDQTbudCZS+jwtGD16OvDat0fR5Fw2jqoZrXQdMzDLFtE6VRcou74J2Z
07z+OAalt6RwyboMDK0JW9ieNAN563K5YNN0aRIXQ1S9rGXVbCIIopvS9klYKwhU62RcpnLNeYba
DRvGpDDMqWk6b/mQbZtocAetfHj99KGBxTi1PQY+ANgfDECSU/9DvucoCOR2NmVFang6ZlvPsLui
mZ5unl4L/7wYI4hAJiEYPA/SyUNLo1bmdhiibmfbVisjCuL2ru9sZrSaeLbOKzelV7Oqi9agapEv
sxFN12U1+2wttKeX88RxF0d9R0jsNSsvpiqvMvP0NslxGw9jEpA+GCsBeQZhQo528oNDUOQmNwTc
7pYaNasBB21KlUf3lEzTZsRzEhnGRxmnk8aXRVezfa3tvPWlrD42QX0Z7XANQLK5KKo5205MVDvR
yNJUqkqICdZVt1W1JO/z3vtVUoR62+uRx2mJ5TPR9eeTSIaloIAgwLDlaS6ak86FbLLNLvHlcjE3
NVoNS8s+PS0wwD0PJKYY9AKERgQCOCaSADZ6KDE05SSRyeJ2CyqYaScrV4GWaDCJjkoSC3v8mfTd
fkmX8VWCGzeabEoLu+tTNV0WY6631Txkl0xgsHvtKI4JnVNtxGjxJRrKer3ofrrOcxfFVa/LN6HT
w8p17DbwaJNWepva7ovnuIxFUtcxLQ6oLuMS1qX5ENdhnelmN7R2zWx91Th31i1v6jZa+2Z+veTT
Ri9RjABX1EX+ss2aA5J62TekMETn91FE3qH0XR+aKV+RUeyKkWuzkPSjtPaNihqDBYt1nV50tH8Z
MgSLknUI7SZPy/2ioM2RRGtUdVvm833N7ZrL4b0aitVQB1P13mS1hX91XCTjmo4WxZPDH9Ho0zXr
ElOmuF7VfKKxZ/xDj91imkW/YihZcSSMWNR2KafCOOsvs4DTXZ+rQ13b2z5b6lXKm3iEPB8D8/wO
otgqL/TeJexT4vR7lL8fvDKDUp9aXp2lKTnMPFuRnL2PsgaZvNNv8gi96pf54LPIbbkYt623xiP+
bhCfIMYNhkh+hTza64jF3jUiJqo2oiFnokGfVf9lIfSs97NRM1kFm27LjptF8b3M+VrU/gCxBoI9
VW8ajCujASwtY3dBSidXiSvOcItvyj7s5j6rzno6biLLDCqzeY3oEqfFAHKZh6tKVF8mmksjkmJf
Lcsmn6MP/eK3g2J6K7vaLF68bgr/idhuMrls4751bNs31lCRr6fKv19yZ8qZMONQCYG/izZDlq6Q
ns9sEt0nSbRlzaXvDmNarWykY93UJsqjfSH72FJ+3ne3LOpWPGpjFPVx7qY4WtB7Br0a01T12wVb
YmrSn8mAYk2Wlei77eK4KZKkjMepKdZFMYW4orlZWDuaVDTG8XAjMLkYGnuoG78KpbZGkOpQzB1a
p9W4njCEQT/Z1/nS3mY9CGTB7XbBEsch+Tx6uqJdeLl4uu9IekNYe5Pl03bOhjfa17tI+3taggrA
+5zxyu8Thw2N3KeE3nUs202JvIVguY2GgcWlVYd+7s9tP+xSkexd0UFM9mV3GHK7EUl3odH4ahiK
7eT4q5IP1Aw1N4Anjdftmlu1D+k+82RYV31qbL3swTfPagbvj+FD7fPVAsJp2uJQFtL0KtNG5e24
Yi4Ch20LL0FHztIq9hMFh69qL7sNpjqLSS2MLPN1zSbDsvIGztLNRuRq1c4QgFO69qIJo/GuNIka
TNMIYrQuTBGEuC1lVsXt7C6rrrkf0Fi+Ub5d94Ru8mTea1+wuPUOxHiBwStjWqfTLg8p5IhBbudQ
GJ7ji3peqhhlxKjRsdillfdx0i23I4oMt+2ma9Ldwnd92w6mrwu3WnxqaJhM1tiXOVu+tPYtisoz
308v5xA2TSXf5RAZEs1NMruPY1cUb7FcOoiQlr/li8R7MNik2Sp3aLquvMqrRFwXlW+9oRVP1qj0
/lVhZ7pXIW/uOE/JVZ5a2ObsZbvE3VIH8OkxuHtuyzxauURkKz5ju1HwLStFl/QaUZKuMQuDkT1r
wTadXkfttEsI9uupxUmIk8iVt1mZRp9SQJlrRZvsVauIv5kH3a2Xov6CsCMrP8tlHUXofZO+pqWo
XNyIlECx1i93aOqiPc8RM6Fw8rIk0bJ289C84kv3SScyu6CNRjvvka8MI5S9BqcrhaGlFXuGXNYe
0ZlahWKkH0q8qH1S5+VVattyR6K5Kc1YJ9Gr1s3Zu5m0hIOfZ2KneroYLnr1jhPfrJUOENRQkc3h
3EFqvk7xglY6THxTl748NCOr3ZqoTjVxExq+CY3ncKYlZ6u8b7LKJHIIF660OjOiT4Y73dICQZHK
bTw14wfvJn4/L7ANE3g1v+8mlu193kb9OoP6cdsn1JZGdYKvcckWa+akLPJzVA7voTiuPuIpTHtg
EOh5CTXJG50OvZl5Hy5ErZPUFKRoRrA/e1ex5NZL8PKqrAC9skWzDWHKCZNHeLryYyVNPpW6M8u8
9INh2mu6KrPSbSxCPp7mrFiRhbBYOeSuo7b259lUd28zUcwr1CXZmQqJ20e0Rpu6Yupi1lUNjECU
yfd5y/x+8bqIi0iAo4/DO9mIwogqsmc55Z/ybuCbJEx014uuWKEC3bLJ3ckQql1Nmug2DEX3iueS
QjFd16YnbqLGddVwWfWIFSZF1K49FkNrupbcqyr1Ly0F9DgPrDjzbCH7tBX5axzhaL3MpDtHiV2L
Kn+1JEO+6rMxnEEbvatjEY3lqs7JAjFwGddOK7HOfLLY2BVTC0ISOrObrs/nTYJbYQqVq9Sktq9y
k4ah79cBTU0LuasMaaxmFJJYaV/GLaQMHCJ1P7VZcdVnTG1EbZe4mBIeN7XFcbOoalUsZXreLy1a
SWmHC2spDWbJymGVAje0XxY8SzO3SB2AFIniOmO9wQNXH4Yxr16zWvWruul7H4O5433V5U1kbJuX
t532uXE5oJIlWd5209xspynDn7PW1l+SlKevIyTcvaUZnCSIDEpt3aebpGH51bQkzbmsM4AjRRWA
qSBCAooQLbyWI4SIsYKok43NpdQY3TddNu1qm05n4xKhG8/KFLBKRNZDOdb7uZmWMzYIaXTH5RSP
DR5uKO6ns6S12R5z3W7GvusudTvjOSY4c3spB4g1FBcVhHakozX1TGUbMfH+Mg2+vVBtrq5zkdg7
zJup2qSAmmzk/IcOzHfdsTS/AzfRb6Vr/B6ijOdGFUHyddW2apU0mbhM+pJdzVXFoPhJvVjPNJKX
yzQXxNg5S97KSZUHp0jVx7pLyGzgbHxXpxzfRKEkt6Eo8n0aDf5zXoz45URAznFbZdVBimReTFSF
4ryvhunQAkWYmLTl6KpqVHrRUqj6chotF6VDfNhEvvFX49yP52zAyX7Mk+qL1KR+SyeEDr6fm3NC
RJMCjOqb25K4Qh0Clv4sIbk+C3xUKzKwjkK0QP6sisJ4YDM6pHxMctMV3XylIJGfRfM8bKuaTrHn
nrwMBQTEzPr6ZY7Lpl+5eaLvBl8oU49a3Fg6dUXMgFeEiOhGex4mq2/6oXf7tCaX/dBIvwE3zC5b
rutbxceu2XC56GXVkmqYd3y2EVjhESwVg8jeyiyB8D4TFHbJiOiZapTb27KSRTx4y9huYnqIjBwk
3tg8k13cUd4J44904lsNRNSm9qpe6/4jYLtuP+P0S66KyVQ4hcSbpPO6dX1mATgoCREM2N94gv1c
l4rrN6ViyQck+2ybTHX1IaqqeYqrDMHnZcrtZeZIf6fr+rrm3m1UgsKBzw3Zhb6762iVvpsjKTau
8ivgLuot1EXuuit8fRaNfrgYymmAtFyOhyZK5KsuI+2aDCH5kLcqykyxzOE1lK3HzfWaXWQ2AbjC
+6gyk470m97msjI5aTCUTEqeYYXdSs9DHg8dcpeiXbKzTpQcYA5QZKOY6rMml8OWFg5f4rJN16oc
2ZfaO5KsxmqW05rhquBmqsYp2lYLVOCXTTrNn5om43GmUnVddqx965JmwCYkCVm1geX6QLIKKo+i
KlfSt2JttcxvsozbT9RCtK/LWl91vR5E3Pdtvc2XjheAaoleJ1jlNq6WRq4b3S3SWDwmgJrQDur+
4TBUqY2pncJmapv5TOVVFOMWVJDmE1AnnmoAwnSOYjXwPJh2If2OgNfcaoLTdj3Skt9NY9Set1Ba
L6YtFshzzaDfFBVOSpPKSF2pBMgVlOdf8prQvc9a8jYRKkBhAj+gHgbmocEkuU1Jwe86VUf9hock
zczoCXnbYiZf4iGt137po3iwukrMHCU23VjAjt5ImIRrY1Z19EpCAbXt6oDPkmSq1oywab2EMorT
JVEXvhb1pUtHDyh0vKeAzMeVrHN3UcythOpMZfFMAzC/GIg2lU7sYq5TZBIOebJpUmBFyGwbaUgU
fNxOsv+YQT2/S5Mq3AO3fCF8BHk8gX7BNYUmAxRG2XBoCge1NWxn/tLB3BmUabPo+AqDFrPVlJKa
x3iwbN8ry84G0tDiYprDCCDYAukFPEcPTHAXzXeEDPrwlSf4vUl0/Y1C+dbj+OiauctS+/v44h8v
/+uVq+Dv14m6P988Tj/++eri+9jk6aeOC/3xMVjn94WP7Z8HL35qR/2bhtO3Act/c/FBN+pB4+17
b+/YpiFP9qF+7N392Yc63vNcB0qpF8BHA7ECzKiEoM6hD/K9AyVeCKIh23GsgMCGLtGPHSigUrVW
ikMpjxT5Kw2ok04LO44JwNfDmCCGsQ4oLx9yOlVKZuBtdLaDkpht/DTnQLFQGYulLrcpLdjmaRbp
IYckjwM9FHHGoemlMFX6ZL0asrwf6jrdzYmaIOH45BUbbLWflyG/mJVF56Qsk2e4vhNG8uuiGDpt
0EtSQPviY8fkB6qPgGf2g2PpLrQ8OvdlYVe4FtRAOVs8c74Tlv+4FEMwdglFCQKeX5z0heqhAzZb
kAxYjCo/1wuLVhZpZhJUFJsOc2ayAMTH19+sQuPrp8V7sjygHHxs4sGkAVCbx0GdhyflBVvGkqsO
ej99b8ayopvgluiaWB/NpnXdYlSw7DLPVHtfU+WfYdd/In+hi0oxh+jJJEBqsOuHGyjGgSe9AFY1
6Y9KLibyuvdR9qEYMqBSIJpD2OosOzSkXaVl22/bquYBSFYisngIHt9K0U9bhfvx3TjTMl09LaAT
ewcBEUqA79WMcJhsPu3CZECyZKFE7a5VtjdlVQ8rzyeoDcthWoe0jq6fXu+RBi85Ngoxl+CwiPET
g4+6oMIQer+LFljWMNwTbOBkQq1R4tiNdW1+k0NdVCCbrCtFQmKKXs7nkyuK8AxTTE7cT0EvBtGv
AQcaYjD1eLKbqpeui/qk2A0E6qZjr0I7M0jiz1oYG5oM7Wx+PjTavcv65pOApvbWj2JZ+3JmuekT
ZW/okqAPzJEuMwAa0y6uacbepKFv9t1sp8akjcRDPAWsnBkVOJyD+HJeAQ27r6way5ikJdkkg0su
JK7Qh6cFTo8W9pDXhwkOwoDR/+qHpx4IvT4MeTKrdrwZFTZL3QIvBs3G6XXZiSJ2spmgA9vmyMw9
1peobIpNW1bpedczvy0SHvauSvz9gHl0Dc3d8rbkPfow6VnsAKSVt3mBm/fK8WQvfZ9/Am4KAMcS
yF2/RDo1E9AsKG7JQN8wYDA642ugksZqGNZtqsvbp4/7M/cPp5Uwpo8FxUiqk3gDPG9SqMiWu6Vf
GLAQrACSlEfx06uces2xf4vAWaCjIzSDpPHQqxUH4nMCLexk0aXvIguWkwS/H7qFf1aA1f9avD5a
KfSqoMsAgQz6tqetGTn51i4dLEcrl14ULjuDjU2xptPwTDh4xB8gMRwzLJiMkOSkpVFNpE6p9+Vu
HNL0otT19DoXqLxdotYfoVZ5W2Gb3TwtzdMgfTwedAoEgzAEIYicSJPCfBEqQ13tAgvpfchHpday
aMETc+4wNdIK+mbWU/O+CCU4Ucej5xR6khG/SpjDJiQ8IKAFZIqHCo1GIfMBFc2uczJaZRw5sJu+
zqAi51Vy8fR5H7GeY+sZVKoFVAenMy4DzeGRmgJaz00ky1uWjRBps1FuHaANY8sQPj69Hn6k101h
0AcTCHVgtqctf8dRnrW6cjvUtssSs0HysLbSBW9YcEMVL1GxXGOZ1sDu50kK7QeVnQNxBOzTYDOV
7x202i5qmEG5B86qv6+gv8uA2kroZsxEdJ6w0Lx/etOPakQIwTREZoROMzepRCGIVc1uzlLoE0SA
TBJZ1gedsvbV00s9ZvQCBkQBOsIM008NWihJWt/CkQAOdckFJh5f9H4azyLSqjNGi/pg6SB2Ty/6
yPkoqIMAlaGRgGGAhxa3jKwtSB3Vu4nWbCNpnVzMoxe7mifR+dNLPeJfx4GD46yepgCVT2Kis3Nb
LnPjdkkYbb2pRJ6fV3RRa6CZ/Ms+4HlPaAACj/eOn4/AJz5j8I+dFVbXANIpIDF9gjd7tMgxkqHe
VSztTRXghHhuNPCCTl8+fdbHTB0eX2AKhhZhjOwU2gJAF8dgWe0Y5Kyzqab+zIsFcrNCC30DVJjM
V8ot/ixqn1XpI3I+DhoBHQiLg+Uec9MPsLpVRbnwEQaNshYBPcGS7Ma2M22BiCmTi3yZIXZlI5lK
M3dQQ0J/E9DW08d/zJThCTQuYViP459UvXiVDIOCwSJmkdilRIj9GBK0dpl/WaUR5qYk5XOY7hH1
QsTkBBAGPFEiTydIFIXpHuDvm12aM32ZRAMgOknayq4ykeSbp094FOIJnIHnu4hEAB+FhCrtoZAb
qJBUMSq3awGrXWZV93rwz6LURxaBhzHAVmEgURGYh3i4SKVpx5cKJghCOgGLiJtI5yZKffHXE/tx
FgtCM0xc/jyEVPpliJoIZrEm0bI3Rea9h+YcmuKhoHXzjG084hoEcinUVDDvBCXJyaE6NxbDNIVu
J+DE2wq6NGSlESDaRajqYKHLeJ3AlFEWj5G4+8tKI/DwpObHw0qIAA/lGeUAAQI0UHZlIaJVN7D7
KIes9/Qij9g+DKlqMH6s5c85XEeolROS1a6NOJjhAqBhSSd/loYx2/iiHTOT6fQ58PJIMgdfhwEp
OBmkqtMCamF2snOZVLso1OxNXczRtVqm9pWiLodxzeo5Dz/yJqcOcJzXoppB9tAABx/KMuUCV+UC
81o5pZXYTfOQtCbPIvsFnEG+hsCgI9NrPb5eGpVca+CzvbGZGwaT8rz90jBc3o45sI6rrp7lNmoC
tA7n0d5zlgH2L3gYaQywwJqgWk3X1LbDzrXEvwLg0rx9WmmPxA6YxEIwfga5Fx4OPslNVCAfWA2T
WND4iqAzXQq6ktA9ehtyPFz95bWOgRESAwFdQe35UHKSAOk+kwLArYjSVcDjslm6yG/1kYv460tp
ChkIHj2BJU/T0IzaUMM0brn7ynh4BJ0flKhoxRKb755e6sh8nRjE1/kyGCflUPQAinl4rCpLIxgY
S8C5phQq6iDoCHyBaLa4K9GHOpCFr1jH3XIVyhmSTz8r8QnZorz10VgXMTQHyPWshuU8yAa6asuE
hzWoJIuti9z907sl5OfdHsfMBEyewmNVWJwooWWzh94IECLVWKfQU6bNXSnL6LyBOQ5vxixL73tk
u1eBt+loCpxEsevI8jKVtr3KF5bGFqPwEka8iriSUIu4sh9WVgR/Bm089XJU9bRF2divukRUB5gA
6p8J2vjnihoKTMjwAGig2PwJzuAGemEwFFbvOGkLU/ZON3HOfGJ4iaCwh/BzGdUWGIxgxxil+H4u
82X/tBwxCO2BJI/jZzB1BkO8HMp7Dqo/CaqqdnOTpdjtZOhUCfPUbWqvxpp1OIZG6DrLo/5KQnQy
SxjfyLyQ3PAuQys+2ewLzGu+mTqXtzHQceG2n6IMnCEPq7Rw007NXR5zZMWBhfJqqLtVtBwHWVK+
jUZ+PwJLn9jhAOTNqvPDTWvTu3q2r4U8mhed9sfJtEzntWkjmGX5cTRtKWSMdL96MJeGu/NU5Nvj
UBqaqnjQH8iEVlHpv86lzeNwGI9zaW4pV4sd33dNuxr0cjV/HUwTtdirXEpToB6olHm/dO3X4bRm
FHHD1bknWZzqbn86oDb46nP/yIAahcaDygANA3lhSwf8TRGHPFpHCmWmLKLdMraHiVe7PwbV/g97
Z9Ykp5Jt6V/ENQcHB176AQhiyIycB0kvmKSUHJzBB8Ad+PW9QvdWlaarU9e6rKzbrF9kx0xHmRHg
bN++9rcWY2qHgojpN6BaO9xR7mUtjks/smrD5l2vUf0QGtASGC29xwg7W2aB+lt9orG+X9fw7+ia
CkgZR9ftVL01mB1tLX/Sqz3WYXCj4q309e2FYLOJeb+sEFjYDGmqc5lx7d4T6W7FINn3kl3Fq92F
aDPe0hYb8AE3RSc1qH2jH5y6+pltS4amNOsbAKQxgwVyzP/1bFvcgV2xkj8FmpVYxdmFcaMEWCDR
oNB/AN26mT1zLOcuFs+zGfOpV8XfmLeR+Z8n3pWRZ5PCX6qb33JvncdDWA7+wb15BCOgBX4Fs5IP
US9v6Gpx+v1L3g1I2X4bsM0O7IpP7EyXNBukW3Lmi5M2XZBRNL42fb7wbpUIH5PFizKvG84pojOK
v7NucdPsKDXvw1Z+/i3q1oD9gXnD5L/gbsT19346fv6eeDN4uJTxd/6EZ/tz47dXYdQWyooXQd4N
FyIFj8lvEbgm1Hmv66/fU3C1ZddBZYreQKleGtD5ZvdPoHAdnc7wYjynQ1z8FoXD+WAvug6knX0Y
sCuCBOXZpNxREozyXQ9gJzkSaLJkrh9+z8RZa9V7umJ4t/8eibOtmoGaVerc1dH776m4dVAPTdjq
/1MqDif6UpP0YzzY69DMD/8FxrF4AqBrQ/cPMA6kQdYO0/U3MI5PKEHezG+HFuf+rA3fes9/Srf5
5i/ZONK++VLkGPe+G1Pv8N/xcXJDAyAxgS3+CMl1SzSUqZ5ioC0/knLcGl2j4PxTlNwUp5hAryHP
5k3Epypt4+d/lpJLVEXRpYjOfonH7eFHQK5e/KxZ23T+V9FxQQpAARjCNu//eTCujhbv6y9MXNR0
6VOjaXX7b8fhBjeKBwgo3QR9/v8VGm6QU/KegQv+J2m4nlFoM1Hy/2m4fyENBw7Ze0nW+vxnEG7T
95UXBzjy/btZOD3Z4Aube5KjX62KkYCSiYbgdSQAjQ/eoDGXNsu0pVCiyXrVxqEDGMoV4EEJuyV6
Eh0/V86bX8MWih8fWGR30RoNfQklxR6WKVg/J/EyjPm24GDbOqK7XawsAxktsPNovtLbNUrCPov6
cLkfqnR7hV/RP0TDEhQgUKy6a2AGQ2urF++TL2Bv6UhQ70Rj+xdVAwxfSDvk2oC8LEK7LcVAK+Bj
xDk4Hi0sovt6aMSuQpN9CHGuPUVpNT55UR2ZTEcRjYB0BuouGmjt5Wtt/Tlr+yosOZla7ObjFg9Z
5LRtShyN0+ulT/uSzBu6aK7oU6RStEq4z+0RNy/QpZyV3fO2798YdKtHCz/ap3H4urgLN7SF3ReM
qegubuKr1l1PKJBFKsLofqQovgtMm3m9eRImEhI/ar9Pr6ZpTsCJsQGot7NAnmuqq4/MjuntpMRw
ctLq06RCrwLWReZ3zPXLGR5Glkfwp0aGd4d+ESQffNqW1IBdX9PYgYAyeg+IdS5jL5h32xbiu0bB
XCyd9Uq/Z+FRr9OFs8Zx8oODpbnNNSY1j804p+27zhNoluNgOvih63fAQFWf6Wn9EnlqPntLFx7X
blXvI5xK9hhui/tARWY/JvGFIozcro+9+m0Nh+1FOdHtNJCuKQi6+zkOX0ZTo/v0nCs2d+kP62CB
Ma+WFbrguRX4phWU1vdhF4bnOYn4qaczyzfeOpUtAJiO0UqJyxTGeQJWCDpdqdA0T0M/+G1mRq+9
vnQLtxqYkjzNE5xMIDBJVAR8AZK21B2/30LR5NTMbNcD7cTiTAOBjxTBfexiUlacLk9Gesm+qhO7
SyLwBHGgbjxQlGkWK46h59BMyeMWS7YWmG/BwNUxlTzV8dLfy6lSOleBVzd7N/kQKsaYfqmJ4WXY
0ZEUw6qbe+ZHddH1tYaNo5YcJH6qjlEEfB9Xv7sOiXdYMXn+RKH8H5feCojaYWT3rHKpKWprumu7
buNbDdi1zjcV8a3oQq0wDndQ6goeN8FuQR+U97wbvnbe7N8oVkfPNh0imMZApF3brqEdbAJBB7RY
2rkYZ6bYTg5svrcckOKWSHkMer5li2zg40mTOOOgeG7USi9Le96uTI+v6Y0SStmimI8Tkm+yKqQf
R0hCeYLGPF+9ESgd7IJt4VgHXw58QQ8EjewujGoFNEfp7Qrw7peaprBlAee/GoHEHaSww0e7cCz4
mBdKevY4TWmahYm21xw9J0xRtLtFywVO0SdrnixSFCqkn4R15pWYCJ6cbfbfNWPiHaYqfvGVv+VJ
q+GlaDsyZTWJ6bFZ0iVbZd/mw5CKA9tkvePWTUU1RN6hcWta+P5Aryu0CIFzskdBSFnOUf0yG4GC
9zDEz1fwz48gKvq94KY+b5OA+9FGdih1bOlt29b0gbZuu/HUCunCpRNmQnH6YFQ1PhqgGVPeBovN
ZE9A05A1OWLty9eaGq+YnKleFqHHe89JYfJGxrLsL5dojFsAsYGYi7hh5hAbx3e0fQcWHFV8CLj/
FPrtBgVoxcEVs0CICD4fmjMf2dHHRT6RcfuY1IHJ6DglZTC25OAP0uaV012deYaYB+D+X5nXyw92
G2DJqc3rXC3mfWzST5AVbL7GqIE+6q9r4fPqjf+hIpG8o6gLu4H320PcTi+eq6pSBF5zX89b12RK
8HXPdQ/KNhi23J+ZK2YDIGUOoLGadOrPhI3pLmST3lW6N1dJyqOyll1a8srl/SjMMcQh7ww9ag+G
FsY6cJ5+2euNv5rE48e1hwRA+6cO0GNhx0mdcK5c8yWshuuU9vPlGZgKXYWf5qa9OB0WtksD/AHv
xW7oVfO+GRg71fBSgM1l1UEkmyz0Vic7T4xeuRgHWYH1KYrBMu6Cfrj4Lsx5FbPJBjO9wKmPgwqN
5hNJiVoz4ldJ7vuNaOHua1LoDlVVNKHHnsXab0OmPC1ADfsqxOPmp/nY8nQ3zB47i26qc3+Tdm97
z9tvDVXYAPr4LJKlv11EpD6rYWD7eFgeZ1lFpS82UtZwt73Ojtu9WwCSBtI96XQJMO9X0UvXNO3Z
cO52Y+vaM/fStCDNoQmH9dQRRY5B58iNmcGT1lLOB1/zJJv6pCm0p8bTBuvTZ9dQUk5MjDnXMawK
c7I8h+Ga5rj+Ko9VWJ/A+8y7oaYfGvi2ioV2G6zMDivcrwzUYXkwvdhyEcFM2PkdJIjJa4ab1E1q
15po3gVOh7eJpPHRr7vP/thML1OlwwMquj1VZsIESfjtLpwj/smtkciYHmogMbR9gVYzfzQek/dp
w5p3gSVZqCN4Y/uEXk2uGgtAgyYLotSePOsP6aEZICvLcFG7VdER967b2qyv7fAVnvOmoCtoXbHt
6xkTx4YcSGDqm5TVgHc5Nl3iQfHy6lmfzIrpfm0rW8a+JAVuWZfXCi6+JJr8LHXJnuKaQiLyE9B6
Fo3SOOVe00a7SCCkoE0CWDGWtfDWzpS9a0VOx1Q9LG3HD6pBLXR9a3YKoFSexqg9DGeYQnS9PLN2
WXYtSXBmThukWPiT1nCVw27vGU4rGM9nKG1OtPa8drq5i5llQP6dKVdGN6xTdjIx/NJFSp289ZvI
vx3QAR48dHXHpJ3nfJ1oVY6a84cOZ6YMv8AVU5KYDASXqbNkSQ6dN2IwSxQcf6MmWVJt151sPpGV
sJtOh/a+38SNHWB3sd72FupJ5HHfnpNmSLPABcFXWdsaTsphvd/iqCsDqKXvaLN6V52UG7I4ljlq
MsLm58oGw7XGFL6oo+FmsvYDxsMqC0fyOrStvfVm2RVzHXhZoBiAbcLdofPHDk6vqb1XVmLfxjw0
I5P/MewUha5XhfPJt0ED+5qu9iRoajztS7urwyp9cX4gdp1oPreR2671iNFVLsUW53GDOXhop3WP
1I3+zaK3KicAbkc/UOLOCSmLIEDNjQmalQyeummCpUOHH0Lbksz1nQfQPeifvXGsrpKRJWVbsTXn
q8/AkVRzFix8vQU9+Cnhai3mrfHrzNTxp1YrmcNF5B9SWB2e5ggOsKFnqvChncOE2AuaNayLsX2I
7UM84275atoyHjb8Wabptd/OEKVjJ/cOcQU3XbINz/0wDdhQZFVY8NwnBywKNseVQJEP2BOz1X6V
bjymYc32MrXm4zTzaUfMciM7DX/qgMUdzam6Z7yPPpNOvwShG67tEKu8WReTb8nSnMDBs1LEY1y0
rAlcubBxvjaVHB/XdnL53MNNlbsObplMLU17Rau1zTmvv24Ew/a592Af7BjJt9X2J1JhxAZbqFrK
idZBSfplK0QvDtIf7E4lGGkEiJzJ+DzCcCrm9hBEsEYu6Eiv4azwd26rzl5Dp0fK2roEbQBCEsF1
xejH8o1WXOZUeyO6Azx5aZ1EfRZjVn4nQIoB7kR1hA9lcfsoVKe5rfXNxB1k4275kLbmS92IuIwN
BgouMmtJtpTsU+f602IlC7NOMfsFgw9/yD0u7bNI1/oVCQHmLdJfhYnh84wkOQQVpgWQ3vo8Drb+
PZcatmrK5pOxLjy1erF3W7BiC3EM9vSgSsdDJfwEzt6Jsz3p/TBfcChAv8klpDxWPXCH4lXxrTs0
0yAesbsueaCGqhC85Xml2kVmNA5l2ckJT1LrbWsL+XhEwyhb9aGCCwS+06mCX7OtdxNMMris/nqi
cfrJhIF/Mi6t9m2nMTYA9Hm7DkvaZ7Ug14gz4NdOdiIHuybT0jS6JfCrmdqVNU4YfoY22sM+GikJ
5+1qWrtjWoK3iMI17HKfG8LxgbRyxRiscKZ2oDHGQrotMziCPEEyHkqJoeUxbtu7GlEpO6TmwnOx
YaATri2mOu2mSyK39gh8lGDjSNTL1sOtlKGZXXiOA15L86Dja8kmAz9Q5M/+CnN27e/mpnmAZoXh
cAvHpVrRDsZxq9BGL6ygbPNzjrSAEr/G3VTJWO190cw3S9WRPKi3cAd3Uu4Dys2Zbs8wD320wzZn
YdhMB8yemtKHNU1vTGd+RWDW0+l85WhaHeDGuTNOGngWDdrPOlDPxIYy12QJsq2aG28nXbW8Yk7e
5H2Ek7REBsFXB+bho8T2eC88u8JjLnguYQ/e+4zT84xB5ruBxYjm4ei0adb3gfiiOPf3cRV+SJXq
dy4dgmyGh+Dok7Y7xp5/xWX0ejFOHeN+VEWj52fpQxfvQmoPaY8kikiH265Pk+m9ZTNL9mvlpp0K
Q9TfcQijPVKMokfIpm3R0Vnvqerm8wI++YSYpbWsg7D+AK2ft5kzNfzWo1Vw8FfjLk5HTNmSprnx
rE72OGnZgqHjO81YpVfoDBC4ouL0MIbcy83EwhPSMQh62Ik+Q1KAxJzI4MrUbDxHdonv0pRjdu9S
rEKZoA+fIWmXbMQji+NUUPJugdO9atjdstI222ooOhE386UXi67GxYZo2lo6f2wxzZOXdKEwgUGq
Dx7JRBsvIytnbw0AnyZD/2LuhmDBhmEwZJrQN5yqmY9nbNYY3iVVfKUnpjC18r34MAdtfxy8NAiy
WMPrqKOxerfFtTzCo0WOieT+iw+zZdlurU3RSdQzSqvdcEQG9PjBVIDNRaOm0ifpsmviqZfwIThE
EQyxeEWAj0HWTKhv+GzQc3fCbTxfUMlkhuwKGORS3iIWADk0zUcuV/xsw2C3KlZYi84MQERBMXf7
PNXCw8NTd/t29RG2UMnN3W6eZ+5l1QZXXTWoJ+HzFt3EsOIsiEnCTtfMXrXMEQGf1jS3Bex0mJ9s
re+/uaYz14K7/hPpmUzzmi3izq41HOtkg7/yup8GNAGJluJ6TCaAX62G+aiIlyZ4DRurv45za6Z8
9e1wFYgEG/Mi4sTLvCGo7gbXzNh6ceK+JjNA8bOJBy9AylnEDlqT+G2FbfV6Q138ylfJkyv0Yezg
0xD76uL5iAibU98ShKaZ4UqxIYJSNHr6yeN1+JJ2/fSZDAqmx6HiIkENAy7jUKo+zCNiu7be4uPO
wmuu+Qz0t0Wi9kuXtvprGIbkA25ynGGkCm+7C7wwg3tPqQKwCk/ylE3dnI3UAxEKzjwpRxzp4G5v
g0NV0+BRdWa8WWtCe+yMzTpkPJDhuR57YAuOTCP6pRCe8aKGTRAhKnx5HrYE7LyWPSwb4bfPRSsb
5aMSRJRoMPX7cV0QStK0Fn+qCRXPDQu+CZInbylIw3M01wbySFpXh3WJl2dZBR3ZwyaYnoTZNp0F
bG71mQ8xoRmwz2Z8FJgcw3BGON/HPYiZBjFr46MVqvXLsBdh2QvM9wsrafeIWSVvj11S1U0+YQBL
4ec2psk3WE3hSE1DKBsBnvpqFtQU44hpKzaEGvx8vwJtTmHbu4rd2D3qRCDqbu6XaDfFMy7IuI64
pD7IU472X/lhiVUq4A71NTqLfgTF0yLQYc4Uh7qRV/HWPULS4O9gSscJOvVUWM6+Ix/kCLMs3OSi
THvRvSC2xiJsJgqXvPPktK+Gdfo8unm68ddlPbFIzA0yl3R6A0EWP74dwWzC2ecVyZRineJEX50X
iYWZw6oFJjud1Xs2oDNJheDnGDaNstJWHJKKgegZ4pV/8j0urqNVAG+zsIfYnWEQnnJR44C0ayFa
2lwBQ5CYMa7yETFRi8ibsV37YkICGkbwVQRkZUzwn4ZWzfUMo/gLFIGmyU2jDIpFNy4fZRrpJ+GG
6bOwVRBDoqPeRy8AoR9Jqp+gano43K0SwWZJS+MMZhf3bAg1rzqFYNH6Q/KCMwO7iSlfNoz607M0
DP2B7kaGTX7w4FsdUa9A0KAfr4ILQNcpPpeiFgCHxyjIyeKhr5xQSG/wHEx9vkCcbXMxd8DZqb/y
sQhUBSv9TBPK93PsyDvVtU2SdxNgcChYWFnGivAlgVV9yCpNcSO0iGDRN6TDzWyFurINnBp0NWP1
ANgO+y7E4P62gdGh0Dapz2mXdnfpNFRd6VfQVTNvwUO/4X5DAIX3dweYba1PYIWjF6p7LAKYPN93
wcTeGK3Fda14ABlydSgPZAIAP3khPLodTuaIk1kbscJxT/DwdPKCLAq1hXMRdVH6VNcIw+njFCvQ
Uxo3YZiRo1CO4Qzw1ooIiRMDQrleuE39/gCNyj17SSMOBKzbLXzu3SNvwHF0DgsX20J1rmPWPa5R
rJ/aNKnHUxON8RsOO64vEFeFZwPvZ0BV4nTz4FfwJDqzCWT1Hn00F6UMq0AiFcbyd926BeizpArG
I97iUD9gK9KsSExbiSNbZ3EwScxBouD56JEcpMmHusPSbpHlcIN8pGm/RrItpepQdduVv0NWAy5n
7AfrcOvGZEXTUfNtR5CfIMpvDNMMFvmrIlwGO1lZlHumKJawFpfne1I46NwkF8fPsI5teeEaIxyy
hyHY+a1DvccvwQ9NV/fa0RSysEsD8zjR1SGYoRJTKS6VecAGgBgnJKaRqOJIY5LqYWiGBTkK/rTs
0NRjB2oZ/hqKM9kHYljPjCQG1wAWkLsRbt7oQ9uZrsERsmYQUaGrXxQq3CS8A2Tay6HGYcj0PUvy
NRCsu60nRBPqScsj8ZQ8ptIjp2mrcS+wySEGCTcYIndsRlpGC/4s6q1FbXekqW67iKFGNhtFnYsq
iSJCtEdfcKQk+04A7Im4Vz8YrO9bvbTV2cGpuJvqyB487iM6YkFPnfdyw0VaYdeermIrxxUO4wFK
6+AllXdae9KtmZRYcIGNaJjbVdh9ECCCpEDGGpptApV0X2NcAwJn3pJM0BaVZIgTUL4wZMHpMs36
aVE+nsXBsPTWKmsLXAd2qHTq5S3tjS6ckQYTkTE6ScwTkGaTgDANfBU9hVjd+3b0eo6+TEYfO2wo
6JL9TR8Ud2fRA5q6rmENTLOJwW8yhADB0TyIQ7oIxIIIRK4IHmGpWM9fcpVg8gGwC/sFqVf3HCK7
Dn2jwSYVJRSoO127RzRansjQ9mDxTiJFYketkqBGwmOHDRPdYXCFY/x8u2o7ZU7ViAqqxxGOLrH4
d9Cobmc/RMMyED9jyBHKPW+BG0Yt3mme3XiCNIFvE9W0GnNI495h6TRawD62qPEW5f9+xuHIQqJe
RnIlUty7m63yYaDxHDS23bL4jXcGeSA7nFkUImiE3qL/hP//bVbr753W/2v/RV7ip8f/e/zYP2RW
f+/HxgsbGPK0L+bT/z4e+OcX0HyLFf7HP/wvb7b/H4hvvYSShiHgQpg2/pYOjKh0kLM+bFrgZCP/
29/8zZtN8WIPP6YpXABxHMNr8g9vtv8fMQNyS2Bxgb0Z//Z/Ys7+hs1+B//DaJfGkKtAPmMQSBCn
+CPqCrm/El2ytodkag5jAzFluMSGRRs5U6BYvWmhESwQFIfHxHRbRl0A62E0v0ii/8JUE/7s9iDw
bsFVhZ0SqccRzL0/fhY6xivKxKYO8JXGWQw5FMWuepAewzGdh91OBQh0wcY6PbPUbmVYubXsLRKD
QoxG30b6oZI4TtCwPvqIQLhJa2PKaZ3TgnVjs8dYLcnwUpCuRMDKeDum3Scki3yh8xBf2w05jHJy
/b4POLnokiclQ3siwSL2GELLz106WegdvAJrliQ3rF7f1b1Is35rxrukTtcbpI2OhdhUimZ+QhSl
jwFHDfNZgdG5BBneLx/ZAjnS1PBp4+z9Fw7Kn6Hly9VD6ChyGvHKnvgXX7jo4xg786IPGJ1RxFOJ
zz5vkkIZVUDNC6+Ebt6+W+13/7lKvo+WvtyP79ZOgt+IDOUUW/sl+Jb+Qpr/PUN5IfqzGJGpF+l0
/Qvu+xer3bffEl3sKTA4Y8f+ic4H9R16ggJv9mR1NWqG2OMYaUcNidZcI0GjG3FbEVGkUauROprh
rpwg4YjrVW+HoWlKSWdeQAeNdyIakXGlvGK+QJ1/vhi/WbywfaOiI7WSIQL1p4+5cJ8BP4DtO3D0
xsiZZjXaxTy0VVEF+Fg2Yc2pW8erIAXs+uffTX93JwIkAkQXZ80lguDHJ2fxN4eUvVYfutoueTJC
ZqoN9R5x9vF3zbbcGwAru2SdIK1tsBu94bkyT3PVLFfboMKrdezCrJW1+xj6PkLPpmKpRgc3mXI3
tgdFoGP8D4j+izGFTe8c5n7FIAO1H01kPuCyxOhkEagDhPyVj3VOVkzLYrtypOnJ8JEJG70qpOsV
f/7ev4D6l7URoAbCx4thPWy2P37vedu2WTYSA1Goj0szvNZN/z5uSZ8hO/yTmhF0GSyAU0hk7uFX
0TsyGYQ2eteEU5lPDEMUQxF3FCOX7Q7qavgXHzC4lM+fHpGLpQSmfEDtv4ZRIBN31L4Y1YGincbj
4d8GGMPnWycfqrj19gYhNHtYUgqhRnuycsCcvl53rJ7d3g9HitOPfvQDwvPZLE1Zjb3Il20kEHPT
9ha54PgRYbIghWv5i2oc/2ZBw2CU4OHGWPuSIfLjte0jH4OOtIItLEiPiOGFTcDyz0iqwVGcQM02
l08MJOO253Ow25DBlE887nM1bwwte8DB0lifZyphtqBiYAU+bVJgG/RAC6SfPBUkxdgBAqJO8fe0
i68b4qbcIU8v14OxR0y/hpuNpk/eYC4wbf9Yb6yuMUUFTzJR0iFKyKANRkgavV/6NiwmjlOdaoZ3
BPbjXUw0ZNpt9Fme2vqOESTwyMV3uWTzeg3LD39AVIHJtXAuH+Efzfx+YHm/qAXnhRbbwKTh2/ER
G8hMaEqwQ7cVwmbPMm4xDwr0V2gQaQFL4MduZRgNJKEuB7w4r71VHAfVdkou3DvG7fCH42mDiIZd
QB25BdsUUci5kUm2O0XBLDOLWRH6kemB+xz7bUS9/3mBCnEnv2VSIKf0550+6hWyyKHCISqXIG7r
eoiYl6O2A/Pv5DVt16tA2lePBX+Z+/+bnSkMYZKOGRyA8Ev/tJIqZJbVmEqqA+Ybn2KhS4g6nyf4
jwtciAuSTmGcrZtXsVENyUNyBCt4bg94HUgsnY5UzUHubLu+gw5W86xDU/LnQvLN7//zc4rPeHEM
wgj2yyaTtr6MN9qrQzzAgKJgA73WkOXyiGsMs8Fk3Y+IcUSkVqRzgCrlatCJRI0Bn56wU0CHucSW
wotw2+7FKF9wsmrKKdDpMYCw7Yx4D5xi/osgikt4zy/VJYoQxxIg6ybBnz8+oqp28YoAQQRMb0h4
xBEIhgQKk6gBd4hYcFJfDzLxPvN0IO8cM9tOi2Y7Y/zXgpwbMA50mLCX8NyMGLhtaocUivsGRMWi
+LFCItnjxsOjmR9GxJfniwbNE204qPZIZkBrRt2uaqo96xc/FwNG5jX3HgIe36abew259vO+r/R+
JuIuWd1HYPq7b8WPikhDDU3nMqDQkOF7nyBHIauHp9DNagJHgU2byeRIKDwiPl8AsA/PmkAvRq06
wvu95NMm3vMN4pIX3zLI009/Xg+XlxX9cmXhAUJ3TeDwZj8v2b5Vqw+XvDwkFKljdDtXYn3yl5bf
IFY9KqrOlxleRbCbXMDzEeRXDuUcBaDHuH4GBAGvSIlZBynCuvUwdU2AyRMDng2FfwguCYlqeI8j
pAU+sEb5t9/iOZOFeA0lNFz8pIiC5/OQGRK54Hpt2IscuXz5dp0HZYLCBebZZyt7Qxp3DhPmkAGN
wTAIxBqSzKpLLh1mcGZU4+7P1yb4zaqLkACERh1VH46pnzodolI7wvMvDw0b7zWRV74aMGR3eipc
GL7D4+XdSjSDIUcKpq2XqOgsaXYBBJ1iQQZZ4YvKP9Nmvh20KnXFP8ZdfdNGBnqMwcoyHVU7/0Lq
DFK3eQxzMjYVdSsWMr/9+bv8roGAuRsxLpBmoCD+nFJRG2kTpxKUJs//RBc5PZB6808h2UZwrd6T
gcz4eawdpCGE0+W1Nh/wHOG8311i4pA5gdBsRHMXDvX22KwQSNKpgeTz54/5S+LM5TLjOHoxWsIV
C5vfjw860hfpTGsEjwceSNalNpeY0IDu8d6AHhxadTUPCcualLMH1tBHiR0s24CssjFp8mVekJIu
vPR5Us3z5HhcRAYuqq2avDKyItgjmR5oTjuT3eUQm2nao72D/wm+ofVBXzLWPb1hGus9SEJtzmzI
j3/+hv6vDkC0rjG2J4ZI31+7DYVAjRqdbXcgfDxOWPtALK8SHj95Ov6ytP1+XIZX0YU3XjT/Rff8
LYHs++If4fUv6HQuIS0xgXz1Uxm1mPWP9SXhpifkWKP7EERjCaA+RojXDYh534Jwbf83dWfSJKey
ben/UnPKAAcHBjWBaLPvpcwJpkyl6Pvef3196L56TwrlVdq5s7IzOAOZRETgONv3XutbenmWspv7
BfP/thSfvYLWe3j6KYBJcJyCtoOney0lf2Ed1GIJE5iQ1WFZ1b1mOTPZw0yVqGXeOIwNzngaLxsZ
A/nJknwXiZqqDwleauPxgf67SWcRnfd6j/p3zuUxKWtvhxFd31ToUtPQvFL6yn41ieRAl7zJM+Ps
7zfxAyP1evox+fgsVfsPNhjHAqhTeCAPWhrp2z4U3peJjd7X7Hw5m/h4l05nwdxO6nKjdZH+2LeV
+laQeeEbqEEx6ltfuihOt62aXd/O+A3csbG3mt690oBH0sIAOqBxPl4hS+kOqcXt+OQ7nO5uLAaP
cC6HlW6tT9zJbYAsFnZtZQMzH9G2e0joXjWpbtGpbqci4d2oqrNmnuRu6mW4i4z5YCAi3TE6KR+j
2qbqHKpAyzyyAmI149RUHlrtHLWPwTdkxvNWh+zvUNoRIUoDzarYLiqbN3r52bHwtLlDM2A11OKW
pnAEw3LqpC90Tc9gsZaHssu3jC36C3MI7etOG9hRVy8iuUfXEGoPUKYbmh4mYn6Q3X6TJ8QseM0n
D/lP1tHJEsfWT+9qbWy5cD1+X+JdNSAfN5ryAG5370xNhMTBiY/EV+v+bOTfLVkeaN8mO3eA+22X
Kt+1IkMfban7uBZbr+of16wdv4vz4wRYBTY/kpibGNuyz/kSgVexaLsYpqffuimvxmz/9+Xxs0o+
/QoeTCNOmw7zpFNreGt2CgHOnB+QRZmQuntkPGZMPNMYohBsXbDHRczUPerPlrD5QVDEvcYt8Gkc
W5vZk7ecOMTXxGiPSerKp2FGRoRCv7zMk2I6Q5G/6qZFcl6VaXcts+FcagMaUG3czXa+F65207AH
8D6Mga5UQYJwFzhJ+smWaLnrrfj9e9L95ODK+gEx48oTtEWFTozxTpwdEHfHgdPIJ7CKjc/Aw9yb
cw+jTBVTFJRNaj52WgTjLsouiHWyXlEqL4ccCe2VSJqeznheA9ciGqHCB5FrIkXwXLlQ03u1i7Sk
/Vpm0KnHNkUxn0dvqZLes6EXGUPLyLqRaekEQMJXoEeUblESdfBnC/PQFPayZyhmQA/PtkqLruTk
UpxnqJgNmd8W7VxdaW3cXSizO+/nrrzIwlE/4AWBIb8Y5pk5jNpNVNbfGKSzjngnch6q7awI3NZ9
doZ2awOJhxg+I9zpF2OLiX4/pNOLGYWvZm6yhXZ0ERAMqo09TJjnGXftSoF0lk5FssU+EW6qTDQI
PtJDUtty25tu+FS5tnspPfQIEph0PJv5LjdJYo97okOGirYWTPJmn/R277tpIh5bo/wqUr3cqK5t
rgpHZ/pueVsiTR6yxp0OU4/0uVmuIMbnuzmPRs68+bQxW0SoHiPHisCC4qUkyqQcLO+CzT+ZKNZn
gVU3Nba1pPLCBkMVHqfAnPsCZZGtCfFiJfOzlaZvuNPvUA0sO9OBHwbOsBEXWlO91a34opVY1pHY
iKBZpPXQjYN9uRJtfEPL3aBaRPlSUvoHZYT+GZ3C4OuhuYrsB2a4Bqf5HlnKjkCp2LeR620zNyq2
bW/tAX7PgRryeYMU4WsL+P62m/V7YqZu2j47csLeZUR9BHWnbF/m2bcJPsXeGZXar6QQwuzQYcZN
kvtmQgTayFCTJtUwHqcB9+fUMZExm/RH0VvyzhnS1R0fdwQmtdVm0Z1xV5n2eNkO+bTPPM05G1v3
Clzxg+WKr0asG4HijB2YBZoUysPkQu9jj+iRyPgpVvKdmc8XthoDO+H0DFatWxTua5HO+TIM2zua
4DuQAbwrQjqXY652why8fR6tu5jtdH7VDD8WDaR82OfjYcJptRJYSgTx/VcCnaJjXi10YUoeg6ly
8wtuKn4GxF+X0qaGmgeL7ItIPHUMqhGDSITw0/pTwVFMyN7Qm5d8XMQuGdNl2y5Fw9ZvlwjMdPOy
gTbgm0rweEzCgnXilAOmjcph0+6tq75sEUJMpveSsCj4bpl1NRTkaElYNztrmUEg8P1vuyrzGImp
8sBYEfUqCUdXQ+yVBzO18xewiNaujazh2HHquW26ethOgP9unYRJbKjFOO3zZdN69YvTCxNl3Y8i
YWWSfIeEAnWo7jXPg9EMWz5yiv+5SZ5zJzpTTAsgsd3SMmZXysZb1atLyxof57SQAGBzHtkmPA+j
XMMJQigOeVXLvbKahbkDXafIDK0jBpP6jNad3OguN7KSTgPILXnNC9KCzKatfa9wGSt4UDXc5FyS
UrKJogo0dyE8/tkaXnvSDijJGtvvQBL9qLshfMm8rPtakwF3iXSL2gXZLhkizRzS1Ep1AhOsvNi4
UOEO1VirTbu4l0lvYBezz0ONzKhC5tvQ9u4ld17OUf5Whot1FtPCDPJoyI9jlFa7xh3aq8UoZvxY
RCE5/XiDGgzhmF6aF1ZjOIdsGbqbQWjiLTPzI/C/kl9LoOCeOMBIDkDB1GBwUSnryKwksSaqieFg
L5Kdrs7DV0fvxDdUYu1jR6wIIXeaebAqW113xcABpfGUcx6h6OhgAcRPA6/rgKdZfM8S6eFFBGQV
kMHQvkmryB6MJp3PpcqtjZ2lOda1mO2nxf/S9bqzM5PoCpngS25a5cFqBA5xJck/sp38oUwyecB6
F3Rj537VFGYLFmS1m9NOHeNhZoaVl0uNy8xy7sZRapeRO4pNY4ANYB5HHl6dG4iDqhn7EM6RJFJ3
k3I7EihC+ZTR/djo09I8ZnYeH4fW1N7CxRnf62UZjrnI2qvOavSIBKGcGCDNyjU/JGZqZ5NJgZ54
uEmkQCDfuw7pIUiffQelxYHJjwwyND24SDDRFX4FgO+iMJblZcL24CeuaHaiEExTaKjtqwqV0Wwt
Z4Utq4Dgm/I73rolULx2wFDoKa2zcbo004yRsOq6y6TswgDdYuiTxyJeMyr1dSb+lTFytJpU0qsS
tfC2spb+3OzmM1wEzja2eYV79Zw/YsKTvpHwmI+2Fd8vRoeqTTnX5Wgd1nSWY54vaZC3WAVh3Ic7
JmTdlqIsZNJmkyCAIayS0b0J/vh2CWnxJuE8H7RGZ2FrQrtk99/3edece2mEghIpB9FLrqPGo9a1
6gtrygtwBXFbwtzBlBRGT2ZjL49hPxRHltzagxov1mLZm9HDJTZvuggh6VbkTfjoQG6/QRvBhjdP
dUuGj4lfcYmnw1KzojhCZdejJm5SghY2s7T6wDAFWvIyE4eIDKbdMs7WvhlgdxQluhsD8RMCKcdd
Izpyvy3M/hiaVrEDIC+wvtRNcqmmsP7kMGh9VH4JcgR0xgYW3NCTI2kfJ41RgGU7JJx9L8bB81vN
AIeDIA64Q2EdKrMgwsSr8F5MriCqwKvh0UqIJ0WpFEIBlleY6dYXVGqcPaL4DjeAfaTK7L+GzjDt
UsT/5TaekgVqf29tQrW0b32t7B9hOqD21zK98iV61TuzK4eZtTpU8BKU3AypVOgbRHOzpKE81Fjq
MDNC9t8R93JV9DGY/0g7QCqaN+z+7xCREayQV+j/vRZfuUanJSrDcUnbBlYPxKbfTxN4clvVKCJe
TNNefMFf3UxVVm3rmYimv1/KOB2GQFOjEUiLlRmkBSbo5H6oYWxGp5iLg6NhHC2hDR6tpvnWT1kc
EPew7PI8mu68XO5UhHjMG1GIRQ2xZ+3Mm1UrpkOU9UdaCki5hLrXHW3Bba0Q/iN2+uSMwtnug1/G
pWu5AsDoP5926GRbdK4Y0bFQ780bAzTx0cFusyVoAWl9Ir7aIiXtg4gZZLaUpo4kLM6gMa8Xrra1
qvXVpjdbY+hK5Nng/OkNCfIW7LYbyNkakxsjMkg7UFly3aM4O5Ifpl1Wbv3egGX3szqc+MNEu454
715oDhP4cdCXH2Grp+ejDZwVHey+YzskmzKv7S+8EjgkiHmh9QtRbADOEYXfTDXLs8EqEhbWKkqn
bXiuD891Url41Zjg4ir4ritMT0YaW8zV2Z3Yk9KL1kjP1UqQM/TuK83wc9wT7qbSdfdytLrmgYwc
QuRQS1OUpGa+HfBr7jnz9xtP5MNVnatk9F2Vwrg0QlSYtipvoiUhYMZI2T6c9gzdoXHjWHm6n6b6
rKJ7vsXqOCFOoN25ONlrUuTNWxFV13ESG5vQM96qcj6PMA3vEftcYbU9GgYKOWFP3QFl1T5LVcSm
tYw+BJTuol70a508q0u22+91Molby+2jTYVaEslDPJNEXJtIEZzwTUgj2QMDXC6Tuh4vU4xtVJAt
UUYaevqcxjRu3VDda3Y3nqt+HX9rlfBDKZiHCoIIeZ1FGIdsnBna/K2IIvb3zjuOENDwBGA4HjhP
z63A5WuK90hohOjkj6AB7V3u6jS7Hczt1RAJjKSTfTsMyBiLODIOJKyh+R9mfBtV2QahYCHUyF32
C5EYOEwiBLNiSbZtarynSV68K0KFzy2sEhe8t1XAgUZtCkmmZcxS33jsU8RmuBf2iJ2kzXLhz/bE
IVgwGvj7A/+z53e6uRAlS1vYhbf/R2pBrKsyjiMY35FhZXfuZFtfyaXUKYsteyDw2cqy89qLt005
F3sZRa+pQG0wUkFj3IsPGdkpN7Eyr7CqGJuIKQ2CX/yPddufiTFrdnbYqz1WxfJMZNkLw891XKqn
/Mwt1uyIDCPDy/d128xXHrgEv7JnFzFB1PqLlL4JkZQUIeD2Ykkr/u2sdm4dfTGoUnL3in1RAEka
1RVevZRkkSm5NKqJtVRDWTIbchdozh+acMjIDWo/AcZ+0MtdIW60qlEiGHR7TnJPmVjAHSn7/FAb
HF/I6Kzv6KXUcEy9DfnjHQXZnNZB5vZf67C9XDsHf797fyDx1+3a84i8QIkhVnXK76+Gso+60dHo
o+Ib3GB4/lINY+sn1YMk6zFW8VdNPEiCme0En5X5ydU/eFcYurB/vjD4DD9njb80cntiOE2zNPMD
7UACAY163jR83IB23XjoNGunOlltJGmD22LM1CcyoD/0Mnx3Lu8667BXwKc+eVVp5FJVpcflZ3gD
27jQn7pihlZWm/dmWj+U6q3o2SGQLe2sZEMIW0ATIcAW5vo/5VCOiX2+lO+DsPZ1b4nPXqUfvJwM
TAdwS9EUIIxbS59ffh5UILpeU3gfWpKshp52iMS+m2YbaxhR4QOvAFfw5jS8HA2cFg8yVZgnLOd1
GDCkuc4rKu/d39fL6YD6509mr833VdPElPr3j4TKbJoLt2S5iPxrFIZPI2l49EY6qnehP84cwz/Z
X/4YPJ1e8uQZqWz8xQZnfcCA2oNFMuEur+d3NUffUdrrCAPKm2TOH4rRDulEWNamdY3bmWA7rA9X
qZn2N/W0+jicPj3asWy2f/9F/pg4rZ/PoI3PU8TJzzhVXbVN0zgkx0P2bOvRJzDIul/64S5mXVV9
4xyXCBhHNuc3E3NmVK3prXLL4tmKDILoKqndZhMhK52JRBuxNg5SqULUWHq019dcM9wFbqBAR/tI
zu1j26bd3VB6LkcMhVKvRzlFYCLq2TCbAyGTdC9T+Zkw4YNmLl+SDX7d5U2qyJNJ5ohxMS8NMPlt
EV8ICfnALSVNt7ym/2DfpEwxOQRb8SYN3WZTVZRyM30kPHSEI7q5Z+4TzX73gErcZfgSz0ph3ZWd
ILI2tNLAykFi2FlW277uWCrQOXYzJ+ijLfLAdBc3w0Eg/y59UbfDMTPtDfkQ6qkbiqu4rz577P4c
L63KSoYAjLpMtKUnjx3nBR31Z8qks+mLDRsz3apqsL7YjdZfrxLPEUzpq3DQXEA0IzPMoQfVDp69
NxBP2aNTM53V04e/r7OPnjym7C7wXYFE5LTNHBddZCSGQ6Ky5T0pcjP7Rc6PYQNDhLZ6HVgZxsq/
X/LnlOHk1Q4kVRdo+XXCbE43oJizUYqBuD7EdsowrTGBatq12nN60XbLEs4XP0UHcV8yas26bDth
nDqI0EJL5H5+Yz7aDxl5MlJ3+CXk6TFm1OckbQWMc6TCW2m5Khij+TueIeJu60G/w1ezoyeRPRk5
cIcxZjg+pc1zC/xduSCfq0QP/SRv4k9WzEe3xkFdx11BauuY64L6ZZ8OO2EUxQT4HH3TYRU0bok0
CHdehZa0nxZEt/SdPrs3f46BBZJnaTE89Lw/aeuc4Y1sKen216QmIMsT3hk+uFtD9e2ehUqVnWuX
tOpvTaeJZPDzc/x9eayvx9PVwcRjzSBxCec8XR3zrOJWxyF1oKsJ6HXBUo3j4OrnTEmEgr7skJSA
l8x//g4yqTRRcUoDAe+pEmFGgpRxTK8PlZbZgRWO03XF1K5vPRWEhRyuk9H45JIfFWpE2Fjr5NvG
aXgqKyABrsgIbGLpjRm77sRZPwUpUWPNDpDu7Jhe9Rg8JuKKW84Tmp5+cr8/WGOIGXgEWfyGyZzy
9zU2z3XuGlFdH/TF3g3N8pyw7AI5JFiHs1sUIeX+H99d8PAIZSV1OqlYp8UR74FKWODhs5w+VIin
6AAAB3VuM+lHzltEQabDxedqyg8e8pUmver5XQQOp2JKs7UKAnWZfHLoB3tTePkRWbLFEz63n5Sf
60vrZAHzDK31L9Iwj1/199+U8EooMDJnkqrnBIi69mWp8NpEts2ZYGKq9fdf1PrgHgq6w6uAwqJ/
drqIxMQBd2xKAgU9MfpAcIyjMZfyQQyquMNxn16Fo4N5J0mvXa1/0yCX+JZsNB+l3QsENj9drgpD
KpzfHmEderJve3e6xfU/bPOq1i+8gRPPqNzxobYwBWWV6wV2P6tdomCJ2NAxdlJO0kcheGR7hX4r
yrc5jsv7MlXnkz1/m9vCMjmccqBvMdD6BiOwnV7bEwVugxm/L8yNXuFuqMb5UCVT9dbZFbHmRBDf
M1sOP5mDry6S01sEgQBrM44LjBynJ4RpAvM1gXU5oJeMKHnT605Gm5QH3Fp/kLXVbwDlmFT1XNfu
0ey/u+Gqm9AJZ88JkCRK97/K8n9k9Pm3gYm/uXge/r9MXvz3Tp+1S2avXpN/b/TZxN8y8hn+J3oR
xdh//aX/NvmgQHc8TDsg2Ilc4kw4vXf9//lfmHxMzsIcdNCZWRaquf8JYLT+95pRyOaL3IRn1eYv
IYHoY+IgTaxB6FAw+bjeqohy/onJ5+QJBbhBTh5SRsvCWIND4WRHSMa8MqFPtQdXr15NYoZ9N2nP
ajf7RjbyHqj4J++Vk+X983ou4kl+ESQS0j0522BEBikTJe1B2thxhqn0nsnhkHs0AfMnvYa1CPll
s+NSXIBOg2GiVHAt9+SrNfrkjomyUcAWCJnTyYPzRSLtLzf75l//3K8+l5Md9V8XQXfHk8qw5I/f
r0bx4eRtgbWDONy+NV8kgBDO4IziUZ///VoffiHHtghJ0RGjnSZ3tcAxI2vE0QDCub1GDQiELNfT
T3agj6/C+ZsVoRNYua6YX2o7HNei0rSu4TAQ75yCiU8ZV+MnX+XPZUAPiDPFT7UPjfOTi+ROAYMn
wbgD+6y9Ul3zTkGZ3TAwyj5ZBR9fSWJUYFzCW/1kFaCzXip3Ght8m/XFVCeBM1ck1lrNl39+c9CG
//d11oXyy8+29NJeGMs3hyRWl7Ebrm7Ndv/3axgf3RsWAN4L+lacSldp8i8XSUsapsVqbNVm4uHF
l3zG9rHvq0vDuZprRNoQN+L2jv+NjFX508GLtn//DB98BIZOprBwrOjro/X7R6iIB6ZmaJsD9UXp
54MGy5Ko+f/kIiwLqmxaVT87JL98T9MpLCGY4R0Ygi/nqeK0xaRA/rOEkvXZ/VlT022iiUFX7vev
MreLRlwot8xCPduGEzqD/ixnDPIffBlK9/93mfUX/eXLzOZoOFPUszKi9G0Om+OYOcl/8oP9co2T
VU6j0jHLlq/C5H8zlwM4BhpTn3yRD/a6336vkyWOqqpi7spFBqMG5dOWnR8ltXfWw9yHm7sYm7//
cCfHrX/dH2l6VENUkUztT34418sXBut8qeysK5B6isux+9IU14sqr7N59/erffTtqMPp9K3Xwpb1
+9Uk/X4G2k1z6Bsru47bNDnObmb6WtO8D26rf3K59Z87eTuxw/IfRxsq/9PnSNe8SQ0hnsDUHut9
mGGJGK08enEIiio+uXGU+H9czTN4ZH5uurpNOu7vX64BtqYRalACUE2iYdNXlnGM5skCmjulxbQX
1QT/KUZUMflG6Ri3w2TDXlXDl9YRxVbz2upJxEtcBMiJjJHRz1I8kV/lkmmoTfj/tJmhH90g8VhD
pzyquW+OQxi6e6crF8NvJjWRT+BhBqiIRUCGOdRP6WBZPqaQ4dJoUJ0lcf8cztVI+yydAcbOyfC0
yOR9GnR7O4YSO/+Sn2EX7JlvFLBSUke9xhOST4Rs8o6zcwQwLgSMkNfjY5QyB4rQ4fo2ttdmRAa2
R2n4jOS47rxDvjjx1hobMuK6nms7ebElDcd9MEPpBbnEdubbsnlugOuB2guL5jGKNfvOcBewWVY/
Q6XM6vtmCpPLxuq+a5YCYrubTW9f9DpMtsq+K+0GpbKZY4rrk5uouEv6C3pr1oUKUW/6o6mk3PDR
OnuHEriWRzICnOc57t9NGgkLnCqDf7QAUuJzPvEYZ0IoK9DBRon3bC1OuMesRiuod0VzDqKxY4ic
vaIyykBHjlOBEiGsmbI1a3sJ1EJs2L5lTAQjp0AcxKiVwayVT9nEnLpB2Us/YWMlFj8VXc454HRT
9BvDkssZIVbTF70hqkVfH/Ms1RlzNivS2pnqbbdIb1tP+ObcHp1ZDm3Yj8PIeVkSnaMXCmjwj/kb
+uIK8UpYbdy6Mgem8n1tBmLCYr5ROngDbBPOvgkz9dpZPXxMaAtC7Vvb7VD1GtHw4nYGpDY0YJUb
pEC/2wtS6eJdWtTDLo6mBQ3lMj66S1UeRdn1RgD4VR/93M7r29oyqpdogQAThCoB9mDac3onu6HC
W9Yaj5Ueuw4mndl8yUL0iWfzNGgvkJ9s15c247l+AEEUJPEkb6HGhBvmkR26TjtGJqPV9XEij+27
6JU4SBf70uQZL+M0bcu+T29jYcmrcqiJ2yBrh4CorDPOmqWdgFgz9m6yfnmO0xHKRbksd46dzcx7
4VqAvXHjfDk6HmYsH2lr3W+As0+pL2J3zvxSQ+L/yWbh6Obvm4Wr24T9rW57xzBIkfspIfjlhVUK
HezGullE5gCKskgKhwWIRpkPJ4+9UoXhx3Z80UXSF5ntnc2ta/5IiV/bQIiOLukIoAqz+2gPfUr3
O/zEO0G+0KXdpiJdSWKol9esYqs8nzoRwX50BZC76G5w4qvaJevZxFUzxMM1+l2/sW6bGRta5BKE
hIFqM7vqukb76S75kzV+W4bmAhVdBpigeMPHCMypNYpj1ccDyBy5tIgy2rG/ylrczOMKWzQqO9n2
U54HepFX+lbq8V2MsnqbznRO7d6jPTAM5Z5xd1cESTFrIblddbFHaGpedvXc+c1iWOcT6/qSrjox
bm1rBWnevpZOx2TI04sqCPXUDOypA91HPX2RzowwsOCN+5bg99d2zIvnPi4A+9oypJO2gAdNM/iN
LMR838CgvZtGmibGcPQS4/uiM4DfEbH5RRS6dT9os7af58QLlJne5JFeBHCAoJvVxED0StcDfSzT
c6Mwq29DFWODBwyiv6hRn+AC01UL9dy46NU0TtsUZtdrNCTt3m2N6CbNkZ3US0kknSqaBa5D66Ab
bnJNdzDLRulrwhZ/Qbus3wg3qg7WooyNabXD/Qw4+LyE9DsEeuquokknugLOnw7wfCFvtsqbv+VF
p3+rhmy8WRInHXZL5YkrDxD2TRGn5XVaDWBO8Z12IOB1E1t5P/b6Vq8rHWpMXYv7kt4J7B7p3iMp
cAKh6d5+FoY6x12VPBVJ6+UYMWeEXiZT9zu7DK07k37idVWCGs/JQADYisR4RiaEGkGv2m3iyh4c
Hn9RTYuxijTRexGHnF3kYk5uEkbWPmID8CwiA2CYiZXCFhr0zpSpDBZQ2WP+8dhJl+l1bFJQqY2z
p3kPdqsrrKdhyb17bejxlMuFEbsnootSy8qrpgWQqXVKXUqN37PV3PjrEIUJP0j0oq+4SwQob3Hh
pk+yS8y9rXd64MmORxJs6rgPW2cmGGl8/JmuUPXDeZ2kcpvl5nzUpiw5xNqAD7zKs2cxptk5x1gV
QytHx7GoJGKGab/jZVRX1tAMdypvgFD0gxlha8opIm2I5ZFpPE1D+G1ZUOzHCBvQxZXOofCq5SzM
B4iRlRs/ZrNRnBdUCFuBlfdYa/m0rRCpbsMRZ7doVXzQx94BxONQzI8AoUd+Z+AEt5aId/hfsGkk
YwssbVHTtA5z5RZYq/ziTlX80tVs+RIN/Nhozs4lXOFpskgg0LQJQFwiy60za/qaUwaDZ40QQDKD
eQJRvuzHNUoCbHocGtcIYOxr7CLyOjbIjZq6wbuKsJUGyvOSWzTy4BCH2t2uSq3LEAlpsGa8Rj6z
/A5Bd6ExbiHZyUD/3Pp620Fos7MmO+9GSWKB7fXOhtQKCRrYjFD9ZNFeYmphQmDVaIzU6zi3w+KT
K14Ra5NFR8RY4Y1mluFT5yVh5vf2AB4EP8CTWDBq+chy5ycnjCZeQhloep+sDfubgDAlgyY3YsR1
JePEVm+a713WLecace8+f1ry29DJgXLsVc1ba3nFGSpZDRtlpEGuk22y6RSsc1NcZQQD4ZxdJOVC
6dzolcm+HnUIEP0RlzqHvNjCh+RVyd4YHbVsDRfBjseL75211W9TaA9EYCowkBE+z0bP0/coM+Ae
t2aZoE5x2Zo7PX5rJEp2Csv4knw7dEhKRxJjTEhSyyxGH4uq/6XMxXuB/fs80SR6X8/L75o+xsHs
DWVxloo4R90jRb+beMI2QO4EbFLoFrHPdDY/dLaBSE1hcVYq6h5J8nGPsPvUeTpL7Ry/yLgplhwZ
ASnnh6ydui25G9W+RBkT9F1UnlUNrKlcbye/Mdr+ljb58qRplln5i4Pms3NzBKtj195NhWYhjNPL
e4IAzKDSYpAjcWeegThftkjXGdEtqdz38QKKFA+2T71dM7le8PIrOe6KjDoaciIz5bnAUQrM3G/G
Ir5R8MkOieqDMuxfo6Wneo51bcsIepNH173BOZUXIKDCmEm0GeBORI1318XV2UqHiiv3VZSvs+bN
VErHUTihb2b61mz1x6agTsMvJw39grDvFnqifgb+g9C8Q6kMQsSmADbxjlN/ccQtQwGdujuVA8GW
drhZhE3uHp3xUJsOzOGPC0Fs3Bfl63X4lBd5UNftuWJPpzfB5lFN16GsrtUCQmGKHRFo9fxocOjY
gthKDxHmDvZ27Wkupxu3G277Ib6tqRF7ueyYArb+aMxAenBc+ebKSTY41qagUzcVD8smHH6Y47wp
hgGOxDREW6Y2S9DrzT2+QMx1NrP1uXSe3ZAqUzKlxxQQX2DDvRtjg2QBd2k37E3re7K+UVEsAvih
/mQkxVNcTJdNVX2tIejCp5t9PGs/jPHCMPr3ydEUcDHvIa1xj2j4PArFyWdevpMa+ThbBvt0qLau
jQK3hFI5cZVBUhW3ELipVO8U0DQS76Gr6kxoiwlPWphdxTEfBUrjmg6ABTxX7Xhld3i5ywnNjamW
G1Vaezmr/RhmX6ZI3baD9k7hhN89BOiNod/vtOQbJzVKR0/yvrabt0lJY7P6Q2m0bivRhl9ZxZKa
VGBJALmJpwkQURabq+RPP08iczeH/R2l29Gs42PpNT4xMocQcLZTZhstC1+nvLiRWfHQIpanDzTs
8tS4jjonouE1ZHITxxXhzTKqu8BIXFjv9E1LLJ3SXKiazKrap9RAmg89Cgu41HvriSPiYGwU8GWB
HbS5myvrQuDsPtebDdbey0GZoMRdbrw2tzkqwdJCcm21W4Is5rXu7g5WkpQXrjuM3zHqJOdu9Yzm
0TvESJ/9pR/tDYkA87WFuvnG05Zmz9YT7yZZQXFIDaIWBx1jtp73x8gVZy7NtWlihxpS1+M21dRB
cm9rEcvLLe9qrbNzP3aT6iDLJX3yUim3bWU152UZwrzU9eFhsRzvVhSFFTgI279oGhzqEYAIxzkz
Ptipk30BuJ/gEnNgQ2nHsZp/JFphNL4wW3fbz23yCGC72BQYMs8LLYnxHXTltmPOiqiRggHqdI33
wTd74nV9d2DIlTpWs4kG9zuZInrQ2nlEvIbOVml26MTBi15EXdgRfYJRtki61B9oId84pQnqHGg2
j6fpPuQQg3eiMklOKR71Lo8Dtwe+ayXXLmkCvtniFMBbkfqqZPbba2Bbw3E2jq1DACiw2fYbVWmM
AJHD+HrKBKFcKOe7l95UVrlFn/XGgH084M69cJx6uW4rpw+EOb0KOXIxywwvqWYfdW95VFAPtlFV
12iPBSwZS2CES2L3Qausg4z1u3jQuvsicehflG52P1hVd6BRoH8rncbe2LhK/i93Z9YcuZFl6b8y
Nu+QOXbAbLofEIidwX3J5AuMucGx7+uvnw8pqcSMpJKjbquHnqqyKlNJSRAIhPv1e8/5zs4Fdr1X
SjM9ZDFA5I6MB1IkNBiGybAvp3H+aFs4XrV8cqh+p+zGghm4AjaGdUvY3WocK/sOuHB7ChLKxa3m
4E8TVnxMckAg3jjK+NYOWThgQCIJMdToJirn1jeHfiSoo+h3/6hLhQaNqSDQpO9eeKGfjweFLkVU
ZLLesWf42Nu2A4wMLyvzdSba6Z2j4E9ayfOrLSfFVyfBLMrN1qq4GnDGK9jbsn0qJBVatdHkM+rB
Hthhrqsf4dP8+jZ/UiqeX/msNxuGUL3TZS4lG2v6FgcdqBfkKM9DYYaDb1uuuoIePIHSFqtGEnAg
pO1PkOBYm7H1NZWyTgAMUYCGDn6sNIPaSZ5KC0rnndbrWd/wj0/EpXBmgs9Y5qy1VnPswpYY1ruo
gT9joANhwWewnqKKMgfqtF8/maW//qpv+P1yqO8YJGqIYJjP/PiRDJWCpYPFBiTkvOODUOW8mUiZ
/GrgKWLSrhfvdSrfukFGNQj+YFo74nwgVHWZrZe2Vu1qzbriK5at0LDuXPK4fSNz3hkv/KQ7WT74
11c7U2GUXWKWQ6gzfrKBwCMuZ1lcXjjVNeEkhyv6vlPr3I/VO/3Y7w3Xnx6szgwPrRlyBevswWK7
qMxW0GUEfqMiJrJ7hzjpQWLGVnUw7XF+bGZrIMBJj6QXh+20C4UZGSsrTB7TOXYv5o7p/TqCaXRI
ozsVUVQFAGYQ9Q2eMdboCoV10V+pRLJVYXlbZGw5wUWNfPvJajSb16Y2dnXlUAuXdS3XGj29HWTC
9mIgmYLSTpJ+5MSTBwXe2AoBGkohHALIR8SBF0/6Qy1KBxdGSr6TiMLF3aYq+abvKwKqNfOzmbTl
Zd+rDcjX4J3n95N07vsHR6feZZRi26hDf3wxMe6WGt7aJRh9o3OL8bixC/vEklH3yi2fVwJ9IgN4
IDn35e9OWc766cv3gn9bKLrpjGBsOWvfw/1184z4MXyAEZx0mNKYKVRjLQbVfucr+NatIg7EEoJE
A7GgfvaVL7UgcoHqkoXX96Q4wkefTy4MubWshw+ZGPKV3WFNj0eg67YjRq+ESetbhCX6sSWbd7aE
N1aEH36bs2+MoFsXkr9HTIQJCAhEUDev0unJDSKskumKapdovvKdreHNx434AEE000AEnz9+2rRH
aKQ5XDSwIwpHnVgHM6g0/JN8df/xiociSwV+ghyCuKEzycCEjr1eJtIoYkX1ZZb0srNqnLaxNAU4
fdWbC8dYCS00t8zFtXeufjbv/P5eIbxbZGGC/5y/VwMWKuyYYbujoRV75WyvhcLx4te3uHxEZ2uP
pVvo3h1GyGwhZ09TAc4p3cquFnD/kwtMjOLNgbADnU4SydFbUEsZmbxDcnhre+e7irhd8MVBg3K2
yY605hlzOaAhHXkRZ0Aalrl1XRH7ZdikDfdYMjnI4WQko4e7J9HtvdHUcmc/3TlDN2v5DVB2nv0K
qug1LdRdtjPMp9CTaAfCSr12OEPSuAkp8Si4fv2w375ttDO2ARlS2OfCEMZWddg6AXPfzsrW4dw3
xwAKxi5YXJ2ZpQ3+UNsE+bEG+3WqyH2NzMPTo/C9qe2bCwnqZsT0ps52ft5pr1zw8nFEfRVIcuCc
Rv9mzgMl3RLUolyrIl3k7px+DTzEcq5BeAmGOhye39l133r/ENwA/GFIzSZ/tnazGmualbF295iR
2oh2WCqPiWE8Yfk3/LJTj2Xf3v/6Y3ijrLBeXdM903dmkROIgPiGHay0FacTRKyjF+niclb2v77S
m3eHchapE/Ir57xCUygIZ2lwJRisj5CtLly7hGvl3E9IJvKqX5Mo9o7Q8q3X2rKo/OBGuai3zl7r
fkArbunInCoVHyMcd7FTnSj7AFeFoyNbPmSWIfj46/v8yTiy7IE2hRC2BURlSIXPFmUpWlXGLR+j
ogPPSJr6g+UU3Wep9e0euIHNoK8Zn8iU0NZ6X3X+TOKfL1XKnS6PbK/W+s82EKMjmsvgU9vaFoko
eXj69a/51opqU72S4gTmxziXgIXtKAK77Otd3JOxRNT6R3KS3qlG3tqe2Jw4XSJ1Ba999kLrga0z
G0jrXV2L9VSY7j6qZsObdbV8ZzX5fuI6X8EwVKHwo2qEsnx2qcya61Fvm3o3CPEtl0t7Hj6PPxmG
ggOvzGkckrStyzJdEfGXr2IFnWvt3LRKG+9m0y4OJm13Euo06DFzEHtBVJReELY6kWNJ+CHEo/Il
wKD6jvrlje8fJgcdYa4J286yz14WI+xcd6rnekcO6L7L80+WwFU5AFMd53c2mvcutbwRr46RE13c
UgjBYS6uECj1V0QEsJuELSknrHn/+PXivmyxAKF1Uxhn5QK5uB3nI41vu1UwtJmiBSeSmte/vsqb
t4TFADa7xhTrfMfWOSvEMaX9Tsw9lk8QsjbyhZxg7QArzzvlwRtv87I7/+tiywL36vlBTqmLzOBi
kSigi/f5rUs0ZaoazTuUtjdWyh8udPYu04HHganzTmRVs15WyTw315ba1H4sZ+FVpOFSAr33Ji4/
9ewbhMCHelpf/psj2I+312luZCKXrHddPT0F8FTAZ3bbboJ8gkS2we0z3y/rlutE4p0n+8ZaRBXg
aBSYlHjMvH+8dNRUuis7q9nZWp1f5VbY3aMl+S8Uyz9c5ez9twaXgA/ucBdDTsUmhsmNzI3rIuze
2Xbeuh3azMuRhMm9en6G7cy2zXSQSjsnwTuGkvCpz/R/vnxjnbU437PdoLA9e0cYJzl9J2u+zCBx
K8kQToxG9c7n8taLSPMRBx7VkYC++ePnkiIXmiyLVyKtUmvF6wFcT883uXhs61LfFBy0sPvg9/n1
t/rNy9rOook2Fv312ZuYGqUxdCr31nDcKDX1Loyj7Rjnqzav1mEN3jZy/V9f8q2PbPmwLJzknCjP
30BnroRooPLsJpvhdG6TJiaV9x7nexdZ/v6rBSSBxwvVjC03Q2K2iavps5w69Z3P7Lte8vx7/F2p
R1/S1X7aUbDoOXDS1ZpclRScNScOCgm1vQwb1X5Ku865qw0kkGoCWM5rmly56+TgPnbtM6XJqSDW
6y52iV1adXUG3XISwS2qdK8pyMLzEaV9Mfj1Dwb2ea+O5ZXZntJAGJ7RD0vfjaaMTeMDWpIRWKcZ
nv2FFEn40BZ3acxwNtEd+n+Rc0ur/gt24hao1lSuajsjWTVXP8LW7tdhU/TrgsO0zzQ+Ru1gnijQ
s1Oq993atNvgujOahliiotsEDkktgUvILiqPgEH5r1+Mt1qg2L6FicuWrhtE3R8/tDQzBpGUSrtz
CODzlbCTT9xk+OIGtnHZtMuERctTVfMR1Bd+EYy6T40S+5VVBcDwgF+VOdjgWCvgYvaL2j4K7dMY
ukB3Qxgkv/5139ij+G0NwaEUfSGb4o+/rWxia5S27HYQX3zoHDXBkSzXiDN+v9C/wY3yt56V5Vqf
i3Kqo1C2zX9+z5wJvxb+S/vyw18wCIva6ab7CsnmK6TJ9j//D3/yj3/y//Vv/mEN4TDx9T/+999b
TSjdWVEXxfffe03uplR+bX8wm/z1x/5wm2i/4XbQcLABm+PoYfADf3ebuOI3lyMBh03bsk0WOe0v
t4n5Gy6775xjskG+C23/NJsYhM0AbBACTQ0JFpjT/nwG179/9Xl8vz+TP/76tVnidxHtj0sE/WPS
W5B0s0+h4fjxLWkqjF/xFM+7cZ6qi2jM4odeiukYmchtUReA/gQHv5GoFFYMpoOnLIBJZqEOeSBz
unuyBiSTHd0nL6SbhkOX+1nHLU4PwFCh9JMsdlYykKQEjHqx6RUkLkrSAroR+o0rYlQ69mDD0VW1
ykPWtQus+fMMr5LZDa3TK2MxB1iFE90kkzt7c83crgon/QqPyoF0LH1VjEaCssN2fTMzxhtznN1L
ZcJcYo0dkqF81MAlDUx/lSgmAJ0jdwjiUqkumqLs10GnBB/FjEoyhGDfelEeDeskTpAJRX32KJCM
bUfpPoyCGICRP7zL3YwfQPlzF1rNI0LOicXPcLYpuWe3WE/ILRdxgO6oLU99npC0lcf3CJcmBLRK
tDNitUefaNRXeaSWG1Bmwz4grHetMg+80kxC+kyLdPNQaEzBEw1+XqaoQO6qojrVeS4vkiwwNqOY
7T2xbyVjF5Sl9PqIzzMHHGkb6JDuxQi276LjAFTgqbs3S2L4vFbteg+sqboC4LiE3oRjiDHYGeCC
VdaeaVq/jbLog8u8fhMiatzMdv1iKW58h3qmITaQcWibg5lXnS7ywpDAZtWxVKBoc8cnbxY0jEx9
baNDtUV6EAUNGlo16Z5dGoCmAoulMwaoiFl5GUVLBpmORqVysy2NHsKMSBHdaMwiXliogvUglfqy
TBT9xSHB7tqtGaflLb3qkVTSK4J51BXyR34kBPuh6KsDrsXr2hmCTRJV8bNtiu6DNWTjqch79JF1
tDd7eaxmiTwjZELDID3ZuPp4Y9jTcw3dEuHMMjckrtS3OIwDt9O6dQa78sIyoG6Maa9s1MyCsj9P
5Wau+9pejTQ5noOO99vS1ORKAx+7MIN2Fbb0fdgWgYfWvPQ1aTXPNIU7qAWNiOp1q/fuItEfbpIY
KYlc3I6WmV2Ebfh5apSPbYOsqGqnrwEZ720dlLftEOirCSbvR5zp41aHwbqVMqqRDJj1FuoXAYtu
3INd6xBHEq8MUVCRX+BJ1vzWCynA5fuIujxdV0EeHOIkGNcz2Eev7BrV15uapLzZqq6lNrI7K3Vd
rlSG8bcwnuK1VY6d3/G7Bihgg/4jGDuCMyKj3S/gJ342WL4ANtEXhHvRPiUJ/XGu9QbZ7RD3aK4Z
rSs06I+lUUf3eZarCYIQJdrS4KXbWY6Oz4uRoskEvKhRAuzz0iJsMdTqjjBC/mkaNQEqMHX25WSi
WotJT/Lo9jSrcgraTUYE+CmoejXxnWTMkX8XYeZFeKIPCgH1GEVb+c3MNHAdRq6vR534mKqaGFEC
31oBBtQWUVrobEjSbI4dAuUYL0Vq0uAr6n0p52jTVPYGOCkIZK2rDxZmVE9XtfkQwQQ9kHulH0Ky
df16sLJblSDS3q3v6iSxtvE0XIrSSG5GlCRbq3OhK7V9uAEkkDGEqA3PdXOyrKNqBz3jo60aC5uw
1T655ZL3DM7rJnbtNS81Z4hwNAtPTa3HwFxYWrlza4X9tJsg4K2SPryQenyaneKqyssHIBF7NR9c
Hyop4SYuuPiRvPDHCh6VPwOBQ75ZVJsWHelBrytjq2NH9qLaCQ+uhfYCaOpns+ymbJMppcp0O86O
gqrymrzC6mSlfXfpQNnfWS7MA2T9Axo2JRtXXaUr61zLSy8N0RwVlZIeLbvnUMIsuNjXUh3vYAYM
26lBR9V3dX3Zw/oZutlrxNiyaGtPRHjGT05Wz1tkE+EVWTHarZJX1r/PS/s/qnqhNsAoy27+98XL
EQhi/vJD8fKvP/V77YIfFjssRYNAeq474CX+rF0c5zeTkSJVCGULleefUXjGbyrFDh1PMAE0D1zO
c38WLupvlsmhnr+FT9YxaNCcFSq/KlzO2rlcwqKs1cgxW0onNLE/li0kV1d2qgJ+T9VQu00dhyXQ
IJVC8dwpTewtcSN8a1tEoOtXj+iNiumtC9OkY9LPzdCnWP7+q4OblbuRowxdvhPqogisUiKPVoh/
ZXc5dOa8xzxinYivHt5pJJy1t77fMMOARWVCK/knC4DizvQGHTJOiI3It32SBAdz0M0dRZV5lHmh
fPr1fdI54E5eVYYGZCfB1fgfiJlUmmd3CoYMU42DqL1XFesr3Qc94AQ49iehZRztGkatpxGi8Qvh
VnWwIhEhY9lCx7rVyKh+afVg+JymlDyeOsX1RY4E9q7UQ+MQVdF0WxuJOxKmjKbTU/G5gKgmiNqP
WbY2ejQgMWgUp8DM1CnGi5vKiA6sKQIyaachXLdZ5/hOXJRfh6yD4C2WH2a2AZo3qyfelBzxOLrM
q9HczaU59144z7JEtZe6Fy5ZMcE6cyaAj0nCI8wUCeXASSNZEQmEMRAzqjXe9iJzt+TkDR+sqmu+
MMUYb5NRuI8xRt9dGE88BCjWmIlAE3LYbHS93+bkC+zdsWSTHqOy8XQ0fdXadR2Ss3o4YDeYk7vr
tCjyfE1DuTtoDJC+2SKb1tloNV/akAdqpzHamT5U+5MaFPWOVmO/VTJGY24W2C1p3oG+Bx2RDSSz
uw6TqMkdryNh1v2hrMsyWWdT5eiLjJXnWCaYyqaBzZ7M4lTC7IbM0iizs0HexnSRGlq5ackkvV80
E+DEqH6BpSqB8TI2tAzIIWrcra3kBMKQNnt0zcwKV/ryKDU58mwRs6aPCWHjsWcGffpYVSoDi2Is
jmJq42cTROFMhI5afiRCQaYXQzHwNJyATcoBHdnv1LJLyaB3eVUQW3NX+oCYFg3aXOxVvctuhkqV
Hxu2UsIGDDU/OOZIMDEvyFUT2HLy6Y3xCVaCwKF4bvj4hyYR+q3WlfjAdEr9CDyXtrKrSL0k9pjI
NlxEyfXAEPCQt9CjNqMNyUp12dlXTtbDr65ivC1qw/nLl6ljXKowluNV2bW8pOTR9eT9tG4KiDLg
5OJxwGgf4nrQnrA51M02SPUgRgcK8deD00wGMAlLRMaTbxu721CVxmGGRkvI9lyKT70bpCu8faI8
9FCbEWJ3yyNubIhTniKdDt1LhrLFd8OajwZ9cWCvldItrrq+zT4k5uTcJkbtboMBAW+ZhnKtqG4G
Gl+k3Q0RB1p07NIy2iatkZP5lqnZNzBk/bYzHJ4e9Ar2ZIejBbJohrAlYvBtGSW82b1sy4+a7MqN
E/GhRkkbXWa0hdJlVtA+jErJN46BXXaDDYvXvQYUz8lJjeSL2+lY0jJXXtqMtY9aMJSbwWHmp3QB
IF+7Jq63K7X4Wan69kGdevWSho97Fcg6RSoo5fi5J+Nnb1thTmCdLT5h6CYuC8iaYvlao5tHG2XS
gQKx+dzz9uEpKnhVwmC8tYoqIxOjMvmiB/oE8HKebd6lNM0Drx3TaNwWoRyw4BVK3PlERAR3Tjva
9aoHp3oZw/QhlBuS+NDON6IklBD3rqHdB2UOml+ZFSowc1Qe4Kwon213yC7ahageKp1xWYUqjzTk
W4fBDzAzzcv6SX4ns9NWD2+kCtchIV9qzchlWvdkjuDc68D+EvW2xb0L5jVrPszLlrySlWZBR+5A
qxIHo60jKyjWfVw9MGiRF22nmPd42OZHfKGuxBKmu7dNY2PzSe1p5NMoeosvWnBwpLHtiIqlDK7K
C7xuX/Hapbc4HAYcG9O07cn2wFSDTYiKC1NhYE+PlR2aVzl0mrXV1v2Xoap1gi8QOjqp/alq8Nox
1dOwhoWh4QWlkGvRlMGVnozali51vA+x/+/ww+QYTSW6+JwitxRVfMTwaz1PeWayW6svhLcTuTHr
NsrFwL6OTfVD1ev3sm7rj4DaJATR4g4pS38oYvOrFknFVysB6TlF1gmuFpl+1pcR+D+QBVulTycY
m3aqb3tahht7GggJaHktHC/Pp6tAab8FVaOeRjw8fmqaBcTuqnxIZsdXO7e9McWg+zFJtBwXw5cg
k9k2kqVxCCT52p7eITML2lGCiU3LnanpOHMiB2qcrl3atUFESzDD+JpDnbOeLaqMPAelX08lvQcY
2NGhNJnnrZkKK/1Kycv2wa40Nd5guJ02BahrEPd1q3kkYNWnFiDdtaNxFnV7p3tsoSnsrEg1+Ajr
dIs7apHC44A6KYleHQYw4VsnjcWXrh3DcmUWeeQgba9ZLMlPIzjUwNFSqGkG0jTUwpFL2Q0R7kWQ
rLq5tD83Sez6zZSavadPFQCzNliSjfrvgUURx12h9vJqanoUzZEgx5xOvIEof4PPpDshhWaqPlkV
/AjyDJpcH9cw8m9GWz0tjWgPDglGSRM5qImnkC+oEW8Vxwl9duujZSwtCiu7UgOh7nslRNWfaCEQ
NXs8ug0A7cE2FHT78kQz4kH0xAsQY4oEI+giZV2wwz05M/BMxdABs7tOtSGlavQ5ZXLGUBwLO1NE
yp6pEObhlririwgpj2qF+qmD8/4hR1iEAD4xE5rhqR18KcMFZBwYz25ZZuvBzXHVEHxL0H2S7gk3
OoYFNOQUBGw2ZCsCTaAfBnkMI0m/i6ruwWbCdM9rnuCObvDnV2iyRrWIH82p/JbaQv/AyVDuq478
uTRI61ucERHi/xqHT2qYn4omcS/ycsru1Doj6VX0D9A2yf4pO3ulRUSJt24lOL+zox/aeGzYi23m
ISaWy1MSxsFWJAUke6XoP8iKvc4tXA76rVn6lqOEByfi1AZjPFrrgsqyKG13V9jD4IXF5HIoHdJu
bZEW8iCl477YTqEdQ5myhdJ2Plax/Rg5M56MAUV5XThVu+omqre5G+MrRuyqrwJCOmbRGJ2wKu0J
WUQU6XQwMIpE9cywBogrdbkfsRreMsEKWdtFV3hJMxOWphn2ekZfuQ3REANDJXamaLTyBsnToHhx
oQ4L4a+ENa930QtK/k8DJlrM77B88yQaTqaVDT4TgRB3HtpDZSCJGPOEYu+Ib7V3gI9HA/p9Fj+T
F+/sO1K/vRo8/wqX2bgnT159VBVhbRLSH5ZUrJHYtTaqGmrE2sWTGg3PdTBau5i8ho0q3HHN9CJ9
moulu98M/Ozcjp/0oqCeAda/L8dg01F2XATYJUzPVCpempFJQrEYcGuLdhzEfATSdf+i2/lEWHKf
9qEv1C47iQo5qhMq7mdhTMTYVRKwyES7AVPPPFw1iZY/4lMfdmmQl/exGiZXapRPxBMRIrqu2OyP
NM1ETMG4VDB93+jNDgWYKriKRgmpW6NzkmjwLyaBDw5IsTCPVVu5V9Sm2lPfUMl7AZFJitdR4bTe
xFQswSwWJs+Gm7J1xnVRX8z2oF66bag9ERs03ko9ACyqCCU/2MoYPxe9y89CFnqlEGGT+HPlJI9R
KvrSd1y6ZmGW9ydMRJSSpVZSvLpFFz9X2uzcquVgPsTw7VCPj61heTRF/xC5/xsmGf9/crU4Rf99
u+D2JW7ki4zeaBjw5/7VMHDwotkGcFC0k0zKXjUMBKI6ZC1I5bVl2vFX04Bhh03umUuWHnJlpi5/
NQ303xDTLCwnxrF4iEnw+gdNA/O7ePH1mZZjrMvxGZkbuCukKExcXp/eY60vzFJYIAzxX9Nupo6M
JU6w9oOl2JdJhh1vdmAZs/peoG6OPE1m30Ksusx2ms1ktBvEWCpmXrr5dhTR98xKulj6LPfoiVZG
E1x0CuPHLO/u+0Qw62OGUMnpM43fw5RhSAlqtfLLgq4mdcq3VBS7pKRTi+cehdrIiKXaGr2V+oFN
uPQ9CL0PUiGpvgewYo0fR7v9RprHfRSf7KFd14pyqCvtsgU3oXbddYV49IBl11xpYZyt+6YxVm6s
TzRCWxHu88TI8OE1rV57haZFgQ+qM71BczoZXjtpBimaNrbVQCFhi1i5TZel9oExbWf6sCVovbVR
nd8E09Dfu24wfxGBqn5hPizvQOFZCXSPpHwUZtb5uPqz9aw1LOwzA1HmpuIavAYAPYkVbTNzwtkC
nRgvSXqvj4alhdf2qEq/m/toLfBBb/moVL+utRsEJxdukl4krFiiurSMDEv3pGMDaxmymBSR1NUO
fruiAzPvmkglx42ox0dICEguNPXCaNybQkybwLT2QV+vxvAhM5xPACU9M5bXofIlmu6NONg7kbUq
KPcwZ6rGVUQcfdyW2zkiJrgerkSekMw0PqnJMpGaLgz1qY7yexF+DWt3TUfbR5h024Vfq0KuA/cx
UKAFOEh1Qpvmaw4lp3sUkXWUrbKbjS+20VOWUCmODRwHHIGdvulwoEYYaOLZ2NpDHfihvMtD2PUY
kQttnQj5IR+UfesGpWdP2XVn6ay780MNwG01dLuy6Uq/C+vHjNH4AQnhFmPnSlXZDKZjMquMoNpv
RqPf6KQsjTfNUK8Uk9MWVXhMzRnZ46ZU1G2mape1Eq4RZGBD7R4dRZ7osSkrdoXl+AroAn5xsXfM
mBFCgoVCjsmhAnPijeF4SprAs2dF81pOgjt4+pf66FyOTqOQyVJ9Tjka+o0+aOtGNnultT+ry5cr
5XxrfqXl9kXVviUKuWmK0+xkZG9TfhU6+wcGGzFdgdgbJMANQWfGaVXmcfVFFuh3bqmcJl0F35OC
w2EeuKIVt44ych/JjFuJtH8O4ggkHCk+oRpnHj/6ih018CllCq9NnWzbuw6vhzITatlgW/AQW+Lo
M5s2+Cpq7OmI9yxKOCf+BOygX82jTgHb8uKhILXZWxvdw8PtrNHusr5IOR0mZ55WQWDIbcBTXYnO
1G/LIaVnpSGEJIsPoUAFhVPRp/ZbbjTpaqKFdDTgnF6paWLyjWhKuBfS2cmpLL6lGNs5SHR6Clem
C45aVDLB0RiTrmMjU9fh4LYbNBvRyaI0XEdupazcuUq21MjypJepu8eXnQD9sSBQZMTuyVKt7wY9
6PnM2vFyRGHs9ViNfZGFw7rMlHpTNA1drURj7y3BFvm1pFnsOdb8YBMUTC/PDK55PK1vYT//mIpI
bsFrDZw1Mq079VMi1ykDilWahenK1Ot+nTPi8XT6iJsFyL12zYQ4qiGb/TQNIl9PZHXqRPMV1IJY
650liGBQqLL4DVdMFpekKs7BzTDsc2fQLlHYNuRd1EER4m7FUBZie3kWdC/XcVdiSetsEvh0ZZ8a
2kd9zOuNWw7BcwFUiAeBnik2Yvc+UBTzRcRTd7JEZt3UoWWsyU0s+S84M8Qa0VcD/r63cktbAVcx
QfKr+hWwgAtNB32q58a0tgMlu9fB0u/d2JhPthmzgjWiuyk0IQnRs2uU62UUkban6tmmLUrzWwht
1suMFmVf7Da+TgwN/Tdc3I1+adKW8Kua0adjgDzv4Lr7iVEhyRFFdasG5nR09M6+ULQh9jkuPvSk
Tq+FOii+7CGQjqK6aGmIs5Gpa6ULyewz5TGqOf2kFoeWSg3JD2m9oDu0leocM2f2O9mmq0yxV0Pm
YxAWK9KnOp557j7TVSLuLNS/ApzTD5brZis1gf+uj326NkpRsHGp2UrPivIuDjmrYPYhME8PzF05
47zu2gaTPhZC9oVWv61spH1Gb4oTeXY6qKfqBlnEqq5Bx6ahi9KQPD5Y3xNecKWlKzmFD8VsKfjk
Ic7kDe7SDjASR2e6v7O6k50LkcEh4znBrqqo2hOpdNwqp3aczYncViNhea7ZfW0T1hF6OF7BzrBj
ASDNA5ASU9Sr2MXbbnHq9J1olnCUIiRPVZ+eSvIgDh3Qp50+ah9b9xIycLmGhSKhNpTPRTBkp7K3
b2lz+UZbXHCYLtacWUKvsm1l00pHfZrHlBzxJDDmz6nVmQP5ujIQPsyvKtokmsRgHmbJNpMGNfmg
FBtSKxvTI07HNtdDRQFMCHdgcb8B4dUrDP/mhZzn6ZiHZRPux8LJDwj5eSB2m/P/BgmJQC2j6UPH
8Z+GtUCugP3WJ1Q695Ief0drGZQSfZVeulWlexXf5HVTadVnNQg5kpuRpSWcElqgYnhdG7/DUwuU
p6BqB24w93duBaN5ikkwhsaTXHVunq60WSs3dtvpyB4Gois0jL4HxGa5j6FovpORk5O+axkKE1Zg
Y+a2hBTyDC64vnaqHqRF1NoM80O79HKTNaDEjVeO6bVqld1lzHr/xSnBRshcLEpymnYa1uHP7giT
cIiG8qLNpblr3B6ltjMTndQT7EqOxtjiqs7Y5cyAXpR8yZKT3ahXU8EmS451qdlXDnCkqhaIWjha
F6V2RS1rXkVVeFQSe1wlpnEph6HxSmzvtJwYUlsoKEZD+RhO/MVoV+0u6hLDH6roekYZ4UHuTm/i
uCK7iHfs2UmtG2nVlxbBn36bSWUF8RV8GZl3u6xgJB3TZPFflepvjK2WediPhS9JAkSMUJ3jxPs+
yHtd+IboAeqxHIBEBsktuQP3c5gdcvc9lzDl/U+XwTZkqYZqw5R1z2ZGfaJYQz3iTC20+UtU64de
tx7/+Z0ggMJQDBHrZz5uTvBxqlhTtWsCsY1VzvRVNV+j1/uHGmEmbsD5Xl3oTBk1FMWs5AHISxok
H2M1vVxAlBxgV/+9+zl7ZK1CtptDi5k+giZQ19j7GhqTkYLW+PWF3vpsvhNe8VjxyZw7YEINpgpS
cSxtiBCPU9iqF31DU/T7Vf4NR+j/SeN0m8A6tF2L4ZqgPx1MKcfXXx2VWW27+n/5UR81UZG/PjK/
+aP+Oj0vZ2bGvIyXWVY4nv4BpnZ+Ew5WdkztoOIJ0ePD/XPkbv1m6Zy3yUDQCOhhe/zr9Gz+xuwW
EzzzRRUfjGH+k9PzT+/Pz0/g9RKiFZOiqQHBq4GlESCNLQ1u1qun9MYq9eYlmOkjNsDZ+ZP0Wp9g
Q1n9iJqld0lE0m5kYn399SV+mqMvd/HqEsuv8Gp+b+cZC9SIYCbE6V1E7pdIg2Fly8KzrX+86HKt
5bNCe21zhF3emdfXUp1Wi13dgFJfJg9NkR51dui0GHa/viXzLIfj+7u5yE6FqvEvRvY/XqfjZDFQ
8Y07nfnkUQ2SoymzF7vrSC8js1n0KqFWBUe9pL61uvFexuqqC4wtc5sj+saXLtVONHcn0jLkzTQo
29COvpL0BFtUIYFaqBcjYcuNw3G2raNrqYy3XdOP5IlTgTh2c1AG5ZQvKUxDxFA8qXvVV/R538f2
c+m6H6LePY45giq3jwsfXQGMF2sPbv9SsD/gFgZAZrp65U//l7Pz2JEcybbtFxGgFlOnax1aTIiI
jAxq0oxG/fV3eeMNuqLzdeLeSaPQBZR7OGlmx87Ze23HQJIUGA8N6q9VNUbv7PT1+i8/188zirVi
krmFeoSuDRbff/5aAXCjyp+ccUvthJuBiwN3mOOU/Z3b+KcPgnJOaIaOoeWnDy2wZjG10h+34Fce
nJjs2SAKPv3SfGWiCn/nb8aFP7zaRCPRswWwTpPrpwl+cPgTZi0at0w4V1YlF/UtlrcolgUD1//+
G/5hoQa05HinsXOhaf7xZvMmgL7sxIRPmWhn0TM2+F+fizwmhDY2sGGcwf/hwJ5NBmKz5CP8waLr
5iwYaCwYz/7FCfevbKx/VEa3z2FtGhz3WCT8H6+DngSR1Ep93AoKPqwN8iJGsYn1mzBZp7ogGevb
CZJlSsog73cWdv7YEwUifiu9vIJWPLhDscbZ9v9O0v+vNvunF/m2rP/xzX4UIHUD35nfn/cnCPaq
QcDftOphdCTZxy1NBYc4WeZau9jAsTimO5vb7YJT4y8WnD89a04Rzh/b4Jz5aUs0e7OhPVlO29kV
m8YxHiBA/a9B1vypNhR16i08UrRn/7kmQVjqRtF003ZUm0K/a7xLUvnrpvX+svb/9LdAJ/iXyxXh
2M+H3flGB7SUJQlXCy22r73+93Vx+54/XybbwUPLOrSx0/5YF8lQzQ1622lLlPF6RGyjRdF5Grzd
f/+YP630f/+YH23syK5mPxk4igv7V+COpMRKtBQM0WN79d8/6U9nC/ZlMAD8SbTOf1b0BrNDZdg8
fVtPTjAmoASXzhlt1G1H3/om7bEUHgqOvd0gxzuaTF+81GoB+Yp5r42vwGgO/mR9wEm6b2TL6Ndx
OuIk02ppy+a3T+ZwYvbdIpDTt9KNZBGo/hj4w2vnx9fUtN7l3G/Q2j5Jg2Q6hgV0frshgZZMYyaP
76BIpQuaJN0KvuiJJPZPOSUH128/kzJYF7G28xknhYpv7iXDmqDNeMEof2lpf9sU//RUcNqglkSi
rlOt/fMlLvQub7Kap4Kc67dTtbtWMRYT4wjwUPxlUf5EJrA54Nh2/7UmoeOw5f/zwxwVEOWTRfM2
69we5h8aF+Eg02qMbTyqdZynLzj2wD7XxkeLn9gejOpv78Z/vOx8BfrnZMD6NpfKH5ZAZ+rssvZj
fcsU8dATvUVA6qZwvb/s0P+5pv7xMf8KP/y3iu3/+jG3IumfS5fMFWA1JKA4NuHRP55enNQug8eU
p+e1C6HutHbnlGpRqPUonv+yqP7wUY5jURWat//5+aJg+zBq/MozUo7uV5UjC0vljUsT/K93Oy7h
PrLdm4yTu/+PP8mQdACxxMzbAIFNbhoLltT/5SNuPAUQFQDtf9Y4Q9babETzTH5V85VLncjnv1lo
b6/RzwcDgsrDAMo2hJGRf/9vz9+Lh2bKkdltzcg8pYPzFfcIGqPZvwxl/WqTZF6z4YdRXYi/VDl/
XGQ3I77BycQP+RNa0CZ5U9lEmm4B6pMUHRirzKj7MChsouxRnNmgKleFZuz9IvmSNiHXuu1///eX
5T+PLD7/FizEzPIPJJoykwG49Fpn9mVekp4xS2X/rdVB/4db4j9/5X/lTfIyEgGEWflnd8BEeCk0
2++2PiESjlUvpbM2jN+qQS9DREA3bMdq7U9bzTq64P8KRK3GfaRzb2iWvvaiTx9p+TsjPaDZDNWd
dkXBbxKeG39KQHhwMqNHI04Awy51c7wUo73uon7Tmy91tmsnd28ROh98BOn0UHTVwaoAD/ZFl65S
eybBU0XIbVCzBO7SNblyWN2lwv1it/SWS8OC1dl8yVsobfSifyf5tBR9HuqEoMxQ6WiUHzyjJ7fa
XhHsuJmMYjnALC6dlKWNu3fYNGO7TLrfMkekWwaKUUcpOFArn/mwR78ESdTW0KhCu01k0pC0P/Wb
aEkJEubTUAEQrsaJ6j5EorgU2pOi5dvY+kHcNC0aX9Kp9G0i+nVA0zmvtUVym8AO/nKU1dUzW0Cn
zt1glkc5fGi5Hvr80crcsL2vK5SU8T1CnDnJX6PWvEfrjeIJ5F9t94gk/G2Z48dyE1zKJ7f+Soud
il59mTG20kc+EIOOpu86rLRQwBdExIQyg2LpIkyro35bNNB+B5fzPcr2ulGSckxMkmLWVdJZ7e18
ozdorxta2nj+eiYlZNkSfelZ66T2HlB6rHlFQ4ugcsqHp7wCvza3UF1hVzgjvh22ph2tZ64J/Qua
xTrNQ2kQ/bb3gpMPLd3pGbaJS4IHGU3QWYr7If5WUdJzj1Qr5qz7SSHdbvxk0xJQPcZcM0UuEJWk
j3lqHYNkBiu9KpmQ6EzSW6C7Yqn36m2MO8Ty/VNi2zuneAxye42z+AhOZYOfeNkCqayiR8w2YR7P
IQOpTS6OGQBxG8xBMdz8bcmiHhmAPmi3IWpbX8DZbAP41igZr32HpmiWJjCmR/bHTzx3QC6WpuNc
8G7hPMI+pfp61SK7ndKLhVxgMdHaUP58dus5HE0IT7iBUwH61QLLCqgwHAcGTTF6sWkdRy0vuFzh
uVrIGuwshmwRLx3/UTENNSmj3uIaDv9vCRlzcE/QSUTFXA+FHDzClapDuztVzj6KadhzUeAs69Ha
W/Jz6u668r7Utn68TZ2FiA9WfYkna2VAwnc+4vRkilB+MILYkYzQi73kF0MCa9gf00gPHydl7S8T
dSCmbKF+N9K4gWYXAG7q6dHNPQIDMZx9KP8xvkV4QMTWEmI7RqJSYbRb16r6wFEQmubF7qKFGGOc
SUt0DzG63zwS56YT/DrIMod+oZvYCxgvYWmLK+IjSryLzpFONibDCWeXvg3IHM5Gb215851TPZrl
96h3W83bVQz+zxlJLg3MqIZBfIT8WrmbNAbs241iPrdGPi+hvBNTj/CKieUHJP9TH0fB1hMWtZPC
QoZXajk45pNqk1u3vq4uXiVWWOQeO4dcGEKoDx6isFnv660k/GIpmN+sbGaPTH2MHEkn17MUzthq
7lL53g3eHnx+sWgHDQ0T8r+eXsrCd/x5T0/wPiuyeE1PKYGQTCJxzK1PBTrybYdvyN1pxX8Tc70T
fRlOi0mCtskOXipZRqk3h1pmrhCido/K1d6Ipw19+9qk6jAb1XtmmqvEn+ezmhEyiL7rlqIhYB3s
Kmxwha3PM0IdF+HUE5zmyephxrYRl3NL2nUzhVrc9kczT7XFWFzcygz7Fp5nWZZo0St94fXVFuic
sy1a4YZuaiYh8y8UrMlad6Pn2LpjVnzXZfk508bQkfyq8OGDAGK+N711UzIuZhPk0ZSl2nIieABt
3LgYeK31uPeXNAlefF18jIYWDpXRrglGHin57XvzNpjPW3PHnWGE959kXAcQC6IaPswTKKu6pXd1
k4/i2VhAObhGZf7utMYdonLOcIeBrEJQ00TdLotZwiplXtWl/lKOpNNVlvsWxM6pENPVHa03vf/V
Ouk1k/I5N73D0BSHwOuthSllz47X/3KyRjBEM57QEHOeKAfl9BvpL+9WwsP0o5qtfQ4FO34u9MPY
2488um+wHU+0B78wZDs8eu1Qa/PGEsOpJF9Xq5uLYN5seuoeENu6MGSYJPNnqRxMLdXMtoW7oeuJ
8YQ5oFuCXwGZUYErJHbLV2OSJkfTuChZA1NQHP28340Mcm2v22EZyEMvkodBOm9dKxIO4mrvdPMX
NuMnq+PrTcHjRHUcuqX1KL1oX/cg/uvxrs7c0MuS7yRzYaZr5qfQSTaozOvkA8wwxojRCVptg3dq
DCrrWAeaFnq31Ijcux21iRutsmB40FtR74emuq9jU4bC0DZIbTfOpB1aD+mARew9DIWuIoNicB/y
vMLQGMDlyGDjoJ2k6gjyOrm4NSgvz/M3TIHReRjDI77qp7xj9tszjS3L+q1K2Cxqotg1oy6ZUUZl
WIjyIR7zzzrXj1FAGkqHETYMpPhlKBamBi5sGduqwSs0iZXn1eCVkdmT5oULsiqIMSSLFrQ9ZhFr
n2hQJgs458Ia9VVctfqy6Nq1rydhGpMyYfN/yu4OX0bJTmgheqQmYbkoAx2za/Mmmg3a66bz8Ri7
bEwGp0ZgS0hgzIpDstHovgy0qeJGC7muPCWt+WwWTegYxAJkk/9cd6pa+sYAVCMF9kCi1C0nZJlS
Vi0Ux/tUNntd5TuNKF+OHHetRfFTYWjPzs2PXNJjG+Zggbhn3zaDXOlkrKqMA4PGjMiKqxlpV6UX
V272Oy0lbduer4S7HESjcedPi1c/0/epzV8HUH/OMh61Zmy1AeuXHJtV7kZr0ySdAPXAa1exOCGN
HbKk6JByY4eJNH4psye4Qg+GQ5cRcygl9PU8Bj9LPAfVRLXKHLL1NH8fJ/1dVcy/4wSstZ2hjsCj
vPXt+BW9RrXAisKGqJC6w9FaaIrEFKEw9A5OB3Hac4l7N7KXpIA2l+XhoAfnao5e7djMwPT37qYQ
JiLq4hI50guZgXN+JsljZ1HWjQReETjxAdXtYrokZAytflda5Vl4RI6DZyaoPcvOKLoupQjssKoo
ILzaup8txaexRzvZqpXe1quKE/V4R0UzPbdOnIQk0WAiFw8OiTjYP7p0SeALi8lBVZHV2j1hIbBu
hbWoguHUCk4hyl0yAF56L3/ObFxOoAnv+7yv1jg55B5hTY/Yb2zCOmLgb0bxfaNBw+7M7ZQrzE2I
XIAhbQdlfVam8xsHQItWShHU40+7IuF46eI62EP1J7icK0IY9VGMsafJ152eGAe77onX6aswsDzQ
LEW6cXoP70s5URyQs4ORfD6W+m1M7/aPEUluaTcc6spcDbN/wu/Xrx3beddafV3P+R7eGo+ON3ZA
eL8sWt3ZkH5xBPgd6jO08yjZua23MmaXGRRnYip8Tpw4bEr7DdrS2qzaC03pMEfF5OGYq1vvRYsV
/z7fFUhLvAjsSqZuIu9wooxLZuqWgdmD5JZidwW+quK35/GaQqsgNRIjQbpPKdV9LCC8Ois96/dB
P4VzH2TkJNVPrTOvSxzzPIXpkNBqAgGx7GSEmAwzuAm1fh7nj6rUTmk5fRj4UxfVVG6NWaOMm08G
jzYcu00jGhLMRnIXnOeY2Jt6zu507Rd0IIa2IN/JS55tln4pxFGl+PZsWf/KuIKQFfDuDyRytwNi
Ktzmqv0ihuoNJ27Ym/2uksVDa0bYhigXjFNnqLWvQaOnNlWuXJGR84ZbZqNctWptfUlyxGo2rllW
bgjOwCP/S07Z0syx1wz5fY5ZPmr0A2LNBwH3qcc+VWb5XYc8fyDMiWuHreNQ0LWPuSv3hvEGHW0l
3GGZ+5/457va3lvz61xuY3lBOXnjIApZkXWNGs3SH31/3iQtIdjzrizlioyGzUA6VZ4Hp/EmAxnU
WRhEITwFcCY4aFdS+EdfGPd5NW67Pv1dmruqfo7Q8CaeyS8qOQ8DlrYoVp7yQtuTq4i8vSkz1nU7
oUcyVwi41njX15xOCZTAgDNE7uZSbGoPeNE0+lcL75yK2/2UUFKo6BaXU1BPdOIzrpqD24pjpOvb
MY5CZbUvcoh3eHNJwYu6s07d66FHsqdlE5i4ScpT27H10hw2F7FDY0abCIdzXI0qmEmaPWJ0LYp9
7Fd3dmadlOteEfqtM6dZ0vM7uljIBjdYB2276ridWYX7lSfdvZDmds7Mrw5YqsoKfz+b3mq8UaxG
n+4sGRR2K1akIPCAm0MvgrPZkFRddS9pT7+LtD/LEYc2GD7Hme5GFZzmHq8hvkmdTKDvqiq/BIU4
0vyl8JKLdOqHjve2iM8FN0a8uU0JxMh9qvTbJWOAsVlV7ovImYzA7Md9MBFmNZN+ZBJqkoQVoQlo
OFxoD7WYn5OhuyIqf8gKDZNFnj670tqQNr9hKrnxpvpZkbCwaBL9lmfGuu7W+pRt4VucRnK9pHdu
lFhqBan3XIplMO6Bu8EFiR8IQVzOKt63mvXE1oDX0duZzXQyoZB47nBlaMqMGXWueWk4qMapQLIz
hpGt71UqN3qvI6Z8wauxYZAWTrFzJAiEjAozWQYdPidBDjmere2csE9q+GAwiS1gPpMDTHSFKGl/
J8se62wT2d9WWj+404YLnVahoK7TdyK4jnhJ946RH2xd3KHb2qaUvEbe3Wr/jtSq/B46zbFWZEAI
F9KM+am04Yrvkz0Op1Uu8rOmrCzUGg5cr5c0BpxVbrufqdM8pRiYtN4Kg6R86RT6YGdeoaF8xjyz
w/caUtju58nYFJLZWq7WNirbWBf0M0SwkUQimfqR/I4lVI6FZpLhYd1Mvd1F1oSUpdnZyogQwa0D
8evJJhGgzoOlGd0OYVSKMnvjRfhu7emS4fkOk1mtIhskTDoQkaVSyDUo+XpN2+Da2kWgRBzN39b9
vGYRrKbMAwXbHToCRnBPLu0uqRZD0BAINFOeTjurp5OPBX6js15xi08vg2qvsTlumcygocKSJwP4
ItO104Yj4QUrj2i0WI73KTccygAWd2qT19NFLl9WHnD63aF05p1AuZoqccl1XWKnxRIzR/zHo+vg
xCtP5yfV1aprAmyGQf17QiNY9XfSyRe2iDYaw3RriD6lNN9sYZqhyNqzX0xUdZN57xPkgRm7+pAa
HGcjmh7nNrdXpcITZ+Jzq6R+tXWaIxMlTWXsBjTDpDkeYdwcUCDztfN63YwuaUGWscAwtNJqHiv2
or4FyaPdpP8tPl7VrBq7WOoNUWXwwnHzCU6zAgy+4h5Zx6u0bj4MeDhhq/thoFvLYEQoiGN2pTek
Zal83bI3Vc1wX1TVfeskX1XBCojz6qMH4byIzH6p+aR8UadJfXqzR/dDSz26Wc154GgBTLMvI+0V
uOzKS/prZSdrtzSXrZ+gcmVNdGloSjtemoXaVBhhZe+tbQAiDXdcmwqFWyr1+HByJpjTPLwobfd2
rhE1JtFl5r9Eo75wMTEmssvFPIEv7ZthT5rnbq7UG+ETrEX0pz1dwMkYTkY93XujffY6dYgLzLGR
mWchGsi9r8o3rfmy2TnsVh9gA5OjM6H7LMTeqxwsGaBzEp1ZlHdH6QQoSnc3s29u+3Gt8O5iYV3E
1EVppR9pFC1MS1+OSrvUs9qmkXt06e80fsTegnUb32jOpIHrNz9mRA2BdDvizGS0heY+GYNHHXJV
khqHzPxGVnktkvKKGPwA7eMxJUglz/nduX/Fun3ubzGQWnkPquddBSpYZEgXMfIbiyJz+h2jB6Zp
xnwezIGDR18mdrzG07fwxD7HeEBgJ9AETX83Bw5mJOJT613MicQcwRKLZxNZfbqzinmDzXDTocR2
tOEc9HPYizmMDOuQzMYN9UM7k/K3L821VwzNumgtGzkntT/M8iV2kBPxCNWWUMJ6lWrU0dwXtWWE
ryMcelSTbfZsUCftOicfj51HukxnJQTbuTaInlY426FPngmkCais22bBnnsgLxJKkqexbm0EpqVE
VhLUbGf9lz7J97HSXiuNPgovYVP2T3rrheXUXpPE/sXl9dpX8zMb0dMQcdOvfRaR7RMC59fH2VfT
Ou8dVh2BeVCQgBBsbN9/JWbhcwyw9nS2dnX6rsWNZ7OnabG+k3n/OZTxRnX8cVrah8j1aV96zVM3
6VsXWAPXU4S0kgbaMB+mar6a+jTsAquAh6vwe1iK4oukKFo8ZB/xy/pefBwnXRAmaX13WtaTEJwx
Xe3PSZA9Av864wd/k0NyRfte8TXVpdfo102M/LS8rBZ6Pc6LyrLWTO/xj1TIgNL21ajSy5hXn/hN
NqPvrisaAyJTz15pvXpNvZu6jmajTRvQ2UY1GUVFtIs6f41vNqN4JNGgMNZc+enDCrnWNO2+zXh9
lVY/+pm4k2lziqv5jJnzIJVDcqSNDbNbJTNUiDl4ctqa9TXRyvVG71fQ65dBBdSDNX9NdmZrWOdd
fx0tn1ArY5tzWXcnOmjWTJtJxKETO3hKPONNzvnBi9o67PsMJ0n9BMHkae7qed1b/JozBf8mjhAc
eV5l0c+yHlslr3NUEF7kXCOsLmErrGtmiB2YLdo/hrMDuffqjBXAdXcdV9M+1YcZAPzshGMlv1Pp
vMvJXU7dsCpEfVSJfNDYZHPXwb/bcVtvV22mNWFqVmdbZc++l/4qvRoJdPw8OYzAuRjD6VCP5EA+
Kd97tj3a8oGVsMnd7toVG/YwXyN5CznNCKq5EbN8O3FCobmfiOhj/vIGHMSQP/iNvaoh2wA7X01F
D4PNONItuS+i/GSOktRUBF+1lKdB4YUQGgDP2zCE6Bu25PFgSN/GmMbUouFatsyFhAwiL37NiM1p
fim3ObAuaejqKn4CN3NV9aidChW5B8FN0XI6TBz+eEzJMgvHrKTJq8MCydz70ozPWYdtrtaGgyLm
UoJhdgz57inxgPccVFa68wpnVyMEW+DBqZ9z21q7RH/FBF/NbvzUa8OnZ+kmqEw1Y6+z18NoI87z
IMXppHDt+6RSm7wxroS2P1aa/muM1b2cGMQZmmOHY9IcbdqaaT/v7LZ59HR9Wdb8V+jfh80Ukyzt
5tcuNp5i0dsY8NvsYRixojLk9DmRKM4qAVc2txn0jGV1RJVShC7tVLJ89gahXmo2xk10yy5iPF+u
fYu4YKGxaTf1auBXXdaZzW1/IJbJ7gnjCkaYWiI1FVetwsBFAYpBqg85Onzlhmsqd3/wM7n9PnfY
v1P6Ll9Nb5oLmAmvGHKJqLXjRVZhDSq9+Enl5Xoid7pW/XOfBP0yauKTGLyDkNna9mZ6HpO3HcYJ
bpoq3UUbyccm6274mTS0yMyhcXh1BWOBOq4eZ4UDOJf0x5tboKDX6k/UpdM6rbmBTXq94+b14MXB
E5Gwp2FU55itYaG6Spyk7MarW8XnzpO/bGMKeYwIOyzrDiDse1ZToUn9GzzHnVnpBmI0wqoLP+sZ
ds3Uy+PvZraJ5AR6tFBm/5g11qvujXfIoJ8hSy5dmb4wEVXkm4MqdObhsfDy98ZjlcJsDEunfwGt
Q/FPWBj1HOl9dZAusqQ8GmP84HbFc9IR3DYaitqYcsbmkCvFBHWjJDZI24PPucTYHbKxv5uthn8Y
BrGsjAHwjKjfLAIpFi6PNJXWVkLMiRwsRyz7MO5BxRm2AK+XrLhd7ZNuhmRpsCTJuaMmgtde7CfT
+Oyjid647r8walz2ff6MG4t9RawGrhxDxDxp8O8nTradXuN2D/pi45MdTC+cn6twPBxqsll5JcM9
1xievNykgRTc+XZ/KeabXRXzAr6jPk6+cbW5i84glS+hA+UE2LfSmqGhSh4pJ6/epJ2LrjnBX33y
Bn8T59ldEuuriFfMrZxdpvfMRYOJIQsEGRJIGFH5Lg3keGeXEX1osatS6wWm7GdF69LIxh2GlUuS
5C8CWxRFyd6ps2hrWMOmrM2jD6MqFc0VYvheDv0nMvvXyeaaDfNNS7QTSCYytoNXF34AJe+R0veF
+MeDbWnL1o7uU93HAiMfyt7BR8stL/KXtaE/p+1MWSd2vREtOtREoBD010Hoq8IiBFLgfVp0sBEx
nF0cv9RCyT7U1vWqMMpNk9OqSM01IuZNbtYkXZqSbFB5Ia3mjljd9+yWN17U3ZOsu+tYPwTqQ1jW
i6flV8AdbzYtisQbtgN3v6h2GuIt0SJI79PRKSJWDhQaXhUL/yjmvH3kJm+6le9sWJiZ1jOJLDeE
vpQLLL87ORQPqnGeiVpY99JEGJrKR6sy7uAehUqOX6VT3iaD1cEto/1c07ZN5m+ctFuHlXq7s+BH
AKhg74MIeKFhnwo3fjGwqrm4g2EzDeHYaM8RyZHUdXFIUuEKDQEsypuzbFIH3LtkSaPWDYkePDVB
ci1GQRiftx88ya2qz7YsYAQW/cUU8y12HEuMFQ5BdJ07/T0p6xfWdM/9YP49+TCiTDs+jX72a7zl
yOb4/JaKCjxIsy8YG1u9sb7nQFwcWvFWLg6y8gqmgkS6IHHC+phlxB5Lh39H3Is0HhmCoBDbkhO7
iklJDXJ8UvUQ7IUy3iloGS81zWOvILR00XnAcbaYnODs5uMnaPBt5kOxQvdE44I9bVEpp9x6jGmQ
5h0BxIHYIsuZARsqWhZecXHs4T2prYeytZ7igR+YGy+wfV+7ad5ouFXyuffLO1nnD1ppLdyie4cA
thnr5grRcqdEcfZTedAa43XOgy9aC4DFPHxm7tA+WM4dI71LWRRnOxg2GeY7MtyPwiq2sHDXKia0
tOBNxX29mnyHTGeHPnS58DMmPx+TJl/IAg+1AoLSXF8gwL1OVC90FE7Muny0dzRldNAmhkRCBBbS
DfU0Og058bn0TF/oFyyzrP4k1eF3pZINnKvd5Kk7xgBvsSyeCq94Q8Cz7Kp8hWH9Fjoaela0sssg
nNw+dOmJYZRnj2ZORLBvnFyFb+xUS7tP6rssHe4hST1bCcZ5rzp3wl+Unlfgn47uZEtGNwQoCC7m
Z93TOJzSFfDL9WxOdDtaUBbBSo/zjYiZBplSnQg5eHWG6V0n9tapjIfk9vtLSrDcM8h0KBoa4b16
GWW/nlQbEgWEo5gJRTCiEi9y6ORSwyemVY/NmD9ZWh3spKXvwKWASklPo8o+cEvvLYjytOyTQ91a
oABGvQ5bo/rqCRInyS5EjgaGtdky+T109vQ4tTkdFOLt5TjvpWxpeQT2XZ6SHOLrK7+OLr7GdDcw
d0Frby0pl9ltdODV7PndoWcaXA7dc1Bn91Oqs+MkDz0wrjUhpZvG0B4ig5qjpyvMHv5dmyT61uSH
At3duF78XiOKtTpd4GGVz9LG0S5Ag9UdPwG3gmMeTRXbiPg1EACb5HeFWcNignpjmZ53bBRQZSMv
xLJ1Zb5M9XbXM17KOufgcFsoBrNdxFwFLFkw3XFDzR+/5gFb5x0XfmAllAHFsjO5TOUTwgdibOoa
cluxnItoazfOYbDSdTsCL5D1uxmT0Te7n40sgpWog2w169MyLb21a5G0gik60D+Fo/HtI0YXXfyl
Offgk56bGO5W+sCf8prczlZXrzcjk5W+jw5dpH94lfZUzsaJNNgtHqxHfy6vtY5OWDsTzbdDm8VI
YUbjAz607T9Sz6QJA8Jev82xgKWmjE4CEskWMN2Oep3vKn185Du5C0aRGzHo2zYCt1d/jpPzJNio
F22CaqQ55OX3rdcmuvheWtx9GrZvSz8G+EF9F+RrA8Ak0D6TJjmNVbuRdC4y0h7CgQ4hkWSMWOV7
otr3zNKGlWkyk3I1+buJuKA6jC6cvH7GhfY9SNz9bOAw1eQ25/noU/9rTm5yKXrIBdm6gM4eMc2G
bsB0Pk+LjZENK1tWPCKfOJtu2o/9y1Sl21m51xoh7xJRxpIEs0Xv28euqU5tlKwceoqpztTXnn/r
KsDhO6VHGjqPhlPshDetOjBQVY67Wnj6vV0OXFk7Mq5NOiNRS+GGOfEyBvo5zfNhoTyaOrpxMjF/
LOLBOmb6/J6MxmGqR9oKHGTkY9HDSl9VcBZcdDlsfGc+12m20UeMt2JokQHYIkxGthcicUqyaRFb
WFZ7QQmgoWdNdmSwWUunDpxFZnOhL+Pp2ynFM+jmB9vphkU7N/6COfdT3pts9WZ+9ax0TwLQVTmK
FAAX2iBiLE3W10GMX12eb3vYEfpkfOlVt9YE0bKwEEajHxddrR6SqnvNuvk82/PrjfLY6X2o5/6R
cHM66cmnSGiYasY75H5819MuGzhvIFPzXsBMvsUMDXN3dJrqWSREB6P3CtMC5pSsd85s752USl7J
na66TQJGwgsS+EXuuqCNHCkubbZIF1IzfvsN2jdrNQzo48ycGtMA8DDbzDpwuS8UsZsihULnUYBF
vXxOIS8tJjGvRzkRQmDBq0tJqWYkuar5xlbuEzjgbntitmfFCS3Ibl5liZzXVL2L0rQ/oIGg1xZT
FDaSCWDsBZchZpDt2NOhzK0DKdM7hcV8mu0txIqnckqAPHRIWwjmiId+O6DkMPV0UZhEhCrE9/up
t+nYJvyyqk+vBLM3S4vZg2brTx0BTIM2AVhC7KDb2yLplwXJG3u9dZ+9TqMw8Dg4fShvcTT/bjWb
zXveeAiMa09dI9H2KDBmBmgM/52xCwnEXuU1kGMXDrWZI2BxKNfiWSJYlHxGHz9OmrrTuXwVhX8y
Wu2ZZhHAp7LF4x6Ur2n0P8ydXXuaSBTHv8o+e119YHj1phdKDGa7pmmStumNDyYpIKKIiAx3+932
g+1vNGY1pkkau9tyl6AjDIeZM3P+L/PjRSQrKovpkSaUQkJW/GlOHRTTB2l/JrE7l4wBJdXOoqyG
1mz22RBAFqrkJhXs4CzzK1dh8CthXU6UuEKqZBbCLOznSEV15zl7jnVUnDUm+qmpEHPsddrzctyW
IOOP4Ch3TYnJc2kVR1T0bjCMRstTWZU5i2EYTf7QCv0rle9PZWQc562kxyvErgaVTQtH+HCgd+15
VqDEPvZrTMTaFiqpIgRUE4XCxleZLD6TZTcKkwAsBtVCeyk7cT0lTTdOJbLfgBhAcThh6o9ZNfQQ
EPxajcT1IgMM12rX1nutuqkWCJmA/F8krJSp9w9OLetaL7xa+6y5XfALbVcP8kbEKwOii6KVnHuh
uBosDKbpTzpC13njFlidF1PNmJ9UMVv7WuaBMe9YGkpy5TuktNsD41hi+hGNNK8AdCm7TjLouIh2
SrYxnaOSASQDlVCzZX1mMjVTcyYhAq0Ebg5Nm2TJwGkgVQhGrByG4TBJgpq9+pgtjUogscMiRiDx
0jLP6+yDU/pIHFDDydlQ6C7EJWvLML5yjZp6M/BvtHniTwvYBVorPl3iv7TUQIxGvdHI9ays7Jc4
H0TVxbRmJL2auza4gC4CIEbD8IT0U3YJJHojnGUTBhgLW6NDFNb6s+WNG1+US3D5RmeyyD1t0KuJ
2KL4UjsSdYlxpx4Z/QX5j9k6C50GQ8XsY7FgakPzy5xVVC7RUUyGEh2NcHmbjPRgsITrjrZO5OfL
iVeHJ1Ii09XQu9WImP0yKPoDoMyRXXVS2BqtVj5ESKKtzaHgs7xAzOSd2zB6DTQYmC2u5o0RjwFQ
ZUWlXDMzf2ohAFYBkVzgOemirAy+jVqX6LOxAMPBPjNF1WtNbV8a5C9i1joZgEds1CxYRMzyKP7I
O9YpR3ZMTMaemYKhmGmeg2oY8hu+gT6ISWovMwjzJOHsQACGcI8mCIykVdydlOdZyV5FLY7SOvFk
4uptBM3eh4BypR4d52glLHVE3G00RDXETCLjBNEyjz2aXu4M2nlYnltMcBJgH5CNI81F/khPeyPe
cFfgtJkSHhG+wiHVH9aMPeTRu+lAXLpJzZBiZ/1MSb5QUbHBJ4gryyKpjQ2WazL2NN1E743LEqzy
x1UK4nWCoD9mAMycBYBJDBUaS/yZ0W5tCzfuvplO4xr4alz5VpgGSZwf2xPz8g054GQg2WHy4Smd
W25yUujxM7yNfUQ5uhx4kiirTcVvf0Ad0VpampVxJP0pwGjpz5JnYPP2Qyg51JRt2oE6vwXYjxci
H6EIX/uTKwdD+iEaQeEzPKv9W0CSGoqjwe/gj+I+IEBh2wc2c+TUPg8P/TyShRXo/sew2FUr168z
q7m7AOVrs+dWcy9/rs6+n8aT4mL6ug9tJNIeb+iF9jeaIDm2oQns0NxX17Xy33mqmXGATc/iBnsd
IZomlCyEPBQLXR2//zaeTsK70y29CT/FgDW1MoZsKXoZv7fVTd/qiKfvcd8caL+dnRu4niLxmWMq
FD6g64sX9sCDBrZ6AAk7x0TpFsLP+tjtAa2JUIaA3AOBRh3IsP+UHnjWCAn20MGhAK3fxrh+facP
QoGOUF7hsF3Wp39WKDzbEQxGh3WE2XR0WOGKOr0+diNCb9o2cvyGSW1CHb9eR6zHhoMDwmrqlovn
lMt8tDp2+gHzCc1S7EJz/Qr+/4PCtyNh3QE/IBA0B8o5xqg7d44xmK5GXwh16whgevvFxoR1BzCz
H/YmiCakYvRMlGfl1rTAo8cVDRWhzaC4DrX/KgK+Zz4zmy6ce4QjUINRB49m68J5cmaLhATC4Pr0
Lxe6j8rPHPYQrSaMQW5Xdx5/jV8evC94wPdZEiCY8c0qP4pv4Y3cqslbOQI++4FN5rDfwF1G0Lsh
bzHupXJWn1NmgeuWb1cWhOrvtzvjwypp2Tq5SWK2v353f/u//Og1bf7px7d5kGMAurpbeXeV/SAl
v+pEQVFMwzxItzWGMGi9S97+vaA9q8P7h/5U+14UJMEjTTP0Hdr0M3rC9938ugt/0tzowLbP5VOu
jwc23g4gZP3913jTwSoaGQpRRcbwaPNPFX6v65cPwfdKUz15P49F9H3+vh/nm7z8sa/tvsPqE9fj
2yB/+w8AAAD//w==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Aptos Narrow" panose="02110004020202020204"/>
          </a:endParaRPr>
        </a:p>
      </cx:txPr>
    </cx:legend>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_xlchart.v5.5</cx:f>
        <cx:nf>_xlchart.v5.4</cx:nf>
      </cx:strDim>
      <cx:numDim type="colorVal">
        <cx:f>_xlchart.v5.7</cx:f>
        <cx:nf>_xlchart.v5.6</cx:nf>
      </cx:numDim>
    </cx:data>
  </cx:chartData>
  <cx:chart>
    <cx:title pos="t" align="ctr" overlay="0">
      <cx:tx>
        <cx:txData>
          <cx:v>Profit by Division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Aptos Narrow" panose="02110004020202020204"/>
            </a:rPr>
            <a:t>Profit by Division</a:t>
          </a:r>
        </a:p>
      </cx:txPr>
    </cx:title>
    <cx:plotArea>
      <cx:plotAreaRegion>
        <cx:series layoutId="regionMap" uniqueId="{D0683C9F-370E-4684-9CA7-8D6CFD34C681}">
          <cx:tx>
            <cx:txData>
              <cx:f>_xlchart.v5.6</cx:f>
              <cx:v>Sum of Profit (BDT Cr)</cx:v>
            </cx:txData>
          </cx:tx>
          <cx:dataId val="0"/>
          <cx:layoutPr>
            <cx:geography cultureLanguage="en-US" cultureRegion="US" attribution="Powered by Bing">
              <cx:geoCache provider="{E9337A44-BEBE-4D9F-B70C-5C5E7DAFC167}">
                <cx:binary>1HvZctxIsuWvlNXzQBX70tZ9HwK5MrmJ1P4CI7UgsAaACKxv99/mw8ZTKlWJKTZ5y6ZsbFomUcxE
IiPC1+PHHf/8OP3jY/n5rvtlqsra/+Pj9K9fbQjNP377zX+0n6s7/6LKPnbOuy/hxUdX/ea+fMk+
fv7tU3c3ZnX6G0GY/fbR3nXh8/Trf/0Tvi397M7dx7uQufpl/7mbbz77vgz+iWuPXvrl7lOV1avM
hy77GPC/fjV3Xebvyl9/+VyHLMyv5ubzv3598KFff/nt9Kt+WvaXEnYW+k9wLyEvGOVCUIL1tz+/
/lK6Ov39skYvCKWCSPr7Zfl96cu7Cm7/up///d9Pbujrdu4+feo+ew8H+vr/j3c+2P6PFz66vg5H
2aUgxuOFOi3vPn329tdfMu/ib1djdzyGWX09928PRf9f/zx5AyRx8s4P2jkV23OXflJObO9CcGl3
V30X0t+jH4mpFOxx/eAXShHKmaTftHein//Zlh7X0I/3nujox0v/aVpa2bvi7m9UEHuBpJBKan7q
OZhgzjVm6Osf8n3Nb57z7DYeV8rvt53o4/d3/9NUcbB9Wf+duiAvlEZaIKEf6ELpFxRjgZlW37wE
VPUtgH7TxfP7eFwZ3+870cb3t//T1HE7l/Zz+C6avyF2sRcSc4LQv41dQgisKJPfPOQkdj2/nce1
8v2+E618f/s/TSsXc/W59gAzIO39bVmfvVAMMaao+iM4Pcz6TAvFMKPfLtPvS3/zlz+39MsqGzIP
6fn7Bx6zmsfV9OiXnOjs0c/8pynw5i739s5mT4noL4I2/gJzhZVU4jHQBuEOcYKlZCd6+5/s5HFl
/XnniYb+vPCfp5Y6bfrub9WKokeHwfJxrXxf6psT3QCchfX/Lzzo52/4STmnS/z/rqQn9vdj7Hvw
sb9a8dAXCjwDaf47ZH6IFY4VD4eCR33HCuqh2n6sQv79lh73oh/vfXCE/xfFzb8vfP6oD1d34W79
tbD8ofZ5+urXg0K1e3LrU5nqm9T2n/71K0ZHhCwgSv1Rsx6/5wE2+7HUeOzOz3c+/OtXTV4ISYVA
oDhKEMWAtsfPX6+gF5xppCQnDBIaEnCldl2wUPuyF1RwQO6IK0VB4/jXX7zrv15CLyRlGGsGAObr
N/5R11+7ck5d/YdYfn/9S91X1y6rg4dzwRc13z52PKZUSGCoECRjmnMiNBZw/ePdDST146f/F86x
9zMu/A47q8+mdgzbRrck5sXYnRWCXnfZOLy3WFXreRR0n0RNncd4HL35QXaP7QROe7oThQjHWjAC
ZQtDD3cyVEsoIqq7XZUNnyc7oWvM6uaqrpfsFSkUM1Vab0ldhF3ZyXXW46I0runPi2Hk32rwbyX4
Y3s5nvqhVAjFDMpXkDSgQAKe9qNUqAsoybxod7mwSZwnTBxaW9SbYbAHFLj+mI0YEzOT2bWmSTJ3
aKVIt/Vyt7CBrAvu2CFaMNnM41SbbJjn22ekxX7eoeJIUVAaohJ+e7jDqfUFHpbgd34JEzIaDatR
JtJvSUbpWddnZKsm6uOmWKhRZSbjvMPDVvLFvnE6F+9z7tnnIhqkek544CQPhMcZxZJgJiBaaQoI
+uHWmmhpG92IZlcEXcY1r2qjReZuyqkJrzkv3W23zMmHlNDkUyOz5k5lxWLyRQ2vCzQtG5SLef20
uI7S+FGfX7cEu5Lo6HAKHaX5g5UP06IWGfFmh/pInWPUl1cIWLYNsnVn8gpXwQQ9DVuc9c+K49TD
YG2COKZYIA4bOLWlunRVE8IIayMZjzKUnyIr2UqiVq+GMuAVTpPadGUQq6xq9K6vymbdtJ19+bQM
IHmcyoAwpASXQJtJQAMPZTAOndU56bvdlC0vZyfnboUGzg8D0dV6CMJe+hFguen0XO+TOdk9vfwj
KiBHg0VHKWgtj+7/gwrc7HIydGm368KCL3mdyNUg2rtG51HcpE0ac1pHmzwL7jl7PA0soAAK8U1y
iCma/KT8IsIdw23rdjrFzR2d2EY3GSg8RfLK1XNq5qUpD3oaqyru82UY4qobrns38MOExmH7tBzo
I/ZAoYThSjOuBD0VBPdTiDQTbudCZS+jwtGD16OvDat0fR5Fw2jqoZrXQdMzDLFtE6VRcou74J2Z
07z+OAalt6RwyboMDK0JW9ieNAN563K5YNN0aRIXQ1S9rGXVbCIIopvS9klYKwhU62RcpnLNeYba
DRvGpDDMqWk6b/mQbZtocAetfHj99KGBxTi1PQY+ANgfDECSU/9DvucoCOR2NmVFang6ZlvPsLui
mZ5unl4L/7wYI4hAJiEYPA/SyUNLo1bmdhiibmfbVisjCuL2ru9sZrSaeLbOKzelV7Oqi9agapEv
sxFN12U1+2wttKeX88RxF0d9R0jsNSsvpiqvMvP0NslxGw9jEpA+GCsBeQZhQo528oNDUOQmNwTc
7pYaNasBB21KlUf3lEzTZsRzEhnGRxmnk8aXRVezfa3tvPWlrD42QX0Z7XANQLK5KKo5205MVDvR
yNJUqkqICdZVt1W1JO/z3vtVUoR62+uRx2mJ5TPR9eeTSIaloIAgwLDlaS6ak86FbLLNLvHlcjE3
NVoNS8s+PS0wwD0PJKYY9AKERgQCOCaSADZ6KDE05SSRyeJ2CyqYaScrV4GWaDCJjkoSC3v8mfTd
fkmX8VWCGzeabEoLu+tTNV0WY6631Txkl0xgsHvtKI4JnVNtxGjxJRrKer3ofrrOcxfFVa/LN6HT
w8p17DbwaJNWepva7ovnuIxFUtcxLQ6oLuMS1qX5ENdhnelmN7R2zWx91Th31i1v6jZa+2Z+veTT
Ri9RjABX1EX+ss2aA5J62TekMETn91FE3qH0XR+aKV+RUeyKkWuzkPSjtPaNihqDBYt1nV50tH8Z
MgSLknUI7SZPy/2ioM2RRGtUdVvm833N7ZrL4b0aitVQB1P13mS1hX91XCTjmo4WxZPDH9Ho0zXr
ElOmuF7VfKKxZ/xDj91imkW/YihZcSSMWNR2KafCOOsvs4DTXZ+rQ13b2z5b6lXKm3iEPB8D8/wO
otgqL/TeJexT4vR7lL8fvDKDUp9aXp2lKTnMPFuRnL2PsgaZvNNv8gi96pf54LPIbbkYt623xiP+
bhCfIMYNhkh+hTza64jF3jUiJqo2oiFnokGfVf9lIfSs97NRM1kFm27LjptF8b3M+VrU/gCxBoI9
VW8ajCujASwtY3dBSidXiSvOcItvyj7s5j6rzno6biLLDCqzeY3oEqfFAHKZh6tKVF8mmksjkmJf
Lcsmn6MP/eK3g2J6K7vaLF68bgr/idhuMrls4751bNs31lCRr6fKv19yZ8qZMONQCYG/izZDlq6Q
ns9sEt0nSbRlzaXvDmNarWykY93UJsqjfSH72FJ+3ne3LOpWPGpjFPVx7qY4WtB7Br0a01T12wVb
YmrSn8mAYk2Wlei77eK4KZKkjMepKdZFMYW4orlZWDuaVDTG8XAjMLkYGnuoG78KpbZGkOpQzB1a
p9W4njCEQT/Z1/nS3mY9CGTB7XbBEsch+Tx6uqJdeLl4uu9IekNYe5Pl03bOhjfa17tI+3taggrA
+5zxyu8Thw2N3KeE3nUs202JvIVguY2GgcWlVYd+7s9tP+xSkexd0UFM9mV3GHK7EUl3odH4ahiK
7eT4q5IP1Aw1N4Anjdftmlu1D+k+82RYV31qbL3swTfPagbvj+FD7fPVAsJp2uJQFtL0KtNG5e24
Yi4Ch20LL0FHztIq9hMFh69qL7sNpjqLSS2MLPN1zSbDsvIGztLNRuRq1c4QgFO69qIJo/GuNIka
TNMIYrQuTBGEuC1lVsXt7C6rrrkf0Fi+Ub5d94Ru8mTea1+wuPUOxHiBwStjWqfTLg8p5IhBbudQ
GJ7ji3peqhhlxKjRsdillfdx0i23I4oMt+2ma9Ldwnd92w6mrwu3WnxqaJhM1tiXOVu+tPYtisoz
308v5xA2TSXf5RAZEs1NMruPY1cUb7FcOoiQlr/li8R7MNik2Sp3aLquvMqrRFwXlW+9oRVP1qj0
/lVhZ7pXIW/uOE/JVZ5a2ObsZbvE3VIH8OkxuHtuyzxauURkKz5ju1HwLStFl/QaUZKuMQuDkT1r
wTadXkfttEsI9uupxUmIk8iVt1mZRp9SQJlrRZvsVauIv5kH3a2Xov6CsCMrP8tlHUXofZO+pqWo
XNyIlECx1i93aOqiPc8RM6Fw8rIk0bJ289C84kv3SScyu6CNRjvvka8MI5S9BqcrhaGlFXuGXNYe
0ZlahWKkH0q8qH1S5+VVattyR6K5Kc1YJ9Gr1s3Zu5m0hIOfZ2KneroYLnr1jhPfrJUOENRQkc3h
3EFqvk7xglY6THxTl748NCOr3ZqoTjVxExq+CY3ncKYlZ6u8b7LKJHIIF660OjOiT4Y73dICQZHK
bTw14wfvJn4/L7ANE3g1v+8mlu193kb9OoP6cdsn1JZGdYKvcckWa+akLPJzVA7voTiuPuIpTHtg
EOh5CTXJG50OvZl5Hy5ErZPUFKRoRrA/e1ex5NZL8PKqrAC9skWzDWHKCZNHeLryYyVNPpW6M8u8
9INh2mu6KrPSbSxCPp7mrFiRhbBYOeSuo7b259lUd28zUcwr1CXZmQqJ20e0Rpu6Yupi1lUNjECU
yfd5y/x+8bqIi0iAo4/DO9mIwogqsmc55Z/ybuCbJEx014uuWKEC3bLJ3ckQql1Nmug2DEX3iueS
QjFd16YnbqLGddVwWfWIFSZF1K49FkNrupbcqyr1Ly0F9DgPrDjzbCH7tBX5axzhaL3MpDtHiV2L
Kn+1JEO+6rMxnEEbvatjEY3lqs7JAjFwGddOK7HOfLLY2BVTC0ISOrObrs/nTYJbYQqVq9Sktq9y
k4ah79cBTU0LuasMaaxmFJJYaV/GLaQMHCJ1P7VZcdVnTG1EbZe4mBIeN7XFcbOoalUsZXreLy1a
SWmHC2spDWbJymGVAje0XxY8SzO3SB2AFIniOmO9wQNXH4Yxr16zWvWruul7H4O5433V5U1kbJuX
t532uXE5oJIlWd5209xspynDn7PW1l+SlKevIyTcvaUZnCSIDEpt3aebpGH51bQkzbmsM4AjRRWA
qSBCAooQLbyWI4SIsYKok43NpdQY3TddNu1qm05n4xKhG8/KFLBKRNZDOdb7uZmWMzYIaXTH5RSP
DR5uKO6ns6S12R5z3W7GvusudTvjOSY4c3spB4g1FBcVhHakozX1TGUbMfH+Mg2+vVBtrq5zkdg7
zJup2qSAmmzk/IcOzHfdsTS/AzfRb6Vr/B6ijOdGFUHyddW2apU0mbhM+pJdzVXFoPhJvVjPNJKX
yzQXxNg5S97KSZUHp0jVx7pLyGzgbHxXpxzfRKEkt6Eo8n0aDf5zXoz45URAznFbZdVBimReTFSF
4ryvhunQAkWYmLTl6KpqVHrRUqj6chotF6VDfNhEvvFX49yP52zAyX7Mk+qL1KR+SyeEDr6fm3NC
RJMCjOqb25K4Qh0Clv4sIbk+C3xUKzKwjkK0QP6sisJ4YDM6pHxMctMV3XylIJGfRfM8bKuaTrHn
nrwMBQTEzPr6ZY7Lpl+5eaLvBl8oU49a3Fg6dUXMgFeEiOhGex4mq2/6oXf7tCaX/dBIvwE3zC5b
rutbxceu2XC56GXVkmqYd3y2EVjhESwVg8jeyiyB8D4TFHbJiOiZapTb27KSRTx4y9huYnqIjBwk
3tg8k13cUd4J44904lsNRNSm9qpe6/4jYLtuP+P0S66KyVQ4hcSbpPO6dX1mATgoCREM2N94gv1c
l4rrN6ViyQck+2ybTHX1IaqqeYqrDMHnZcrtZeZIf6fr+rrm3m1UgsKBzw3Zhb6762iVvpsjKTau
8ivgLuot1EXuuit8fRaNfrgYymmAtFyOhyZK5KsuI+2aDCH5kLcqykyxzOE1lK3HzfWaXWQ2AbjC
+6gyk470m97msjI5aTCUTEqeYYXdSs9DHg8dcpeiXbKzTpQcYA5QZKOY6rMml8OWFg5f4rJN16oc
2ZfaO5KsxmqW05rhquBmqsYp2lYLVOCXTTrNn5om43GmUnVddqx965JmwCYkCVm1geX6QLIKKo+i
KlfSt2JttcxvsozbT9RCtK/LWl91vR5E3Pdtvc2XjheAaoleJ1jlNq6WRq4b3S3SWDwmgJrQDur+
4TBUqY2pncJmapv5TOVVFOMWVJDmE1AnnmoAwnSOYjXwPJh2If2OgNfcaoLTdj3Skt9NY9Set1Ba
L6YtFshzzaDfFBVOSpPKSF2pBMgVlOdf8prQvc9a8jYRKkBhAj+gHgbmocEkuU1Jwe86VUf9hock
zczoCXnbYiZf4iGt137po3iwukrMHCU23VjAjt5ImIRrY1Z19EpCAbXt6oDPkmSq1oywab2EMorT
JVEXvhb1pUtHDyh0vKeAzMeVrHN3UcythOpMZfFMAzC/GIg2lU7sYq5TZBIOebJpUmBFyGwbaUgU
fNxOsv+YQT2/S5Mq3AO3fCF8BHk8gX7BNYUmAxRG2XBoCge1NWxn/tLB3BmUabPo+AqDFrPVlJKa
x3iwbN8ry84G0tDiYprDCCDYAukFPEcPTHAXzXeEDPrwlSf4vUl0/Y1C+dbj+OiauctS+/v44h8v
/+uVq+Dv14m6P988Tj/++eri+9jk6aeOC/3xMVjn94WP7Z8HL35qR/2bhtO3Act/c/FBN+pB4+17
b+/YpiFP9qF+7N392Yc63vNcB0qpF8BHA7ECzKiEoM6hD/K9AyVeCKIh23GsgMCGLtGPHSigUrVW
ikMpjxT5Kw2ok04LO44JwNfDmCCGsQ4oLx9yOlVKZuBtdLaDkpht/DTnQLFQGYulLrcpLdjmaRbp
IYckjwM9FHHGoemlMFX6ZL0asrwf6jrdzYmaIOH45BUbbLWflyG/mJVF56Qsk2e4vhNG8uuiGDpt
0EtSQPviY8fkB6qPgGf2g2PpLrQ8OvdlYVe4FtRAOVs8c74Tlv+4FEMwdglFCQKeX5z0heqhAzZb
kAxYjCo/1wuLVhZpZhJUFJsOc2ayAMTH19+sQuPrp8V7sjygHHxs4sGkAVCbx0GdhyflBVvGkqsO
ej99b8ayopvgluiaWB/NpnXdYlSw7DLPVHtfU+WfYdd/In+hi0oxh+jJJEBqsOuHGyjGgSe9AFY1
6Y9KLibyuvdR9qEYMqBSIJpD2OosOzSkXaVl22/bquYBSFYisngIHt9K0U9bhfvx3TjTMl09LaAT
ewcBEUqA79WMcJhsPu3CZECyZKFE7a5VtjdlVQ8rzyeoDcthWoe0jq6fXu+RBi85Ngoxl+CwiPET
g4+6oMIQer+LFljWMNwTbOBkQq1R4tiNdW1+k0NdVCCbrCtFQmKKXs7nkyuK8AxTTE7cT0EvBtGv
AQcaYjD1eLKbqpeui/qk2A0E6qZjr0I7M0jiz1oYG5oM7Wx+PjTavcv65pOApvbWj2JZ+3JmuekT
ZW/okqAPzJEuMwAa0y6uacbepKFv9t1sp8akjcRDPAWsnBkVOJyD+HJeAQ27r6way5ikJdkkg0su
JK7Qh6cFTo8W9pDXhwkOwoDR/+qHpx4IvT4MeTKrdrwZFTZL3QIvBs3G6XXZiSJ2spmgA9vmyMw9
1peobIpNW1bpedczvy0SHvauSvz9gHl0Dc3d8rbkPfow6VnsAKSVt3mBm/fK8WQvfZ9/Am4KAMcS
yF2/RDo1E9AsKG7JQN8wYDA642ugksZqGNZtqsvbp4/7M/cPp5Uwpo8FxUiqk3gDPG9SqMiWu6Vf
GLAQrACSlEfx06uces2xf4vAWaCjIzSDpPHQqxUH4nMCLexk0aXvIguWkwS/H7qFf1aA1f9avD5a
KfSqoMsAgQz6tqetGTn51i4dLEcrl14ULjuDjU2xptPwTDh4xB8gMRwzLJiMkOSkpVFNpE6p9+Vu
HNL0otT19DoXqLxdotYfoVZ5W2Gb3TwtzdMgfTwedAoEgzAEIYicSJPCfBEqQ13tAgvpfchHpday
aMETc+4wNdIK+mbWU/O+CCU4Ucej5xR6khG/SpjDJiQ8IKAFZIqHCo1GIfMBFc2uczJaZRw5sJu+
zqAi51Vy8fR5H7GeY+sZVKoFVAenMy4DzeGRmgJaz00ky1uWjRBps1FuHaANY8sQPj69Hn6k101h
0AcTCHVgtqctf8dRnrW6cjvUtssSs0HysLbSBW9YcEMVL1GxXGOZ1sDu50kK7QeVnQNxBOzTYDOV
7x202i5qmEG5B86qv6+gv8uA2kroZsxEdJ6w0Lx/etOPakQIwTREZoROMzepRCGIVc1uzlLoE0SA
TBJZ1gedsvbV00s9ZvQCBkQBOsIM008NWihJWt/CkQAOdckFJh5f9H4azyLSqjNGi/pg6SB2Ty/6
yPkoqIMAlaGRgGGAhxa3jKwtSB3Vu4nWbCNpnVzMoxe7mifR+dNLPeJfx4GD46yepgCVT2Kis3Nb
LnPjdkkYbb2pRJ6fV3RRa6CZ/Ms+4HlPaAACj/eOn4/AJz5j8I+dFVbXANIpIDF9gjd7tMgxkqHe
VSztTRXghHhuNPCCTl8+fdbHTB0eX2AKhhZhjOwU2gJAF8dgWe0Y5Kyzqab+zIsFcrNCC30DVJjM
V8ot/ixqn1XpI3I+DhoBHQiLg+Uec9MPsLpVRbnwEQaNshYBPcGS7Ma2M22BiCmTi3yZIXZlI5lK
M3dQQ0J/E9DW08d/zJThCTQuYViP459UvXiVDIOCwSJmkdilRIj9GBK0dpl/WaUR5qYk5XOY7hH1
QsTkBBAGPFEiTydIFIXpHuDvm12aM32ZRAMgOknayq4ykeSbp094FOIJnIHnu4hEAB+FhCrtoZAb
qJBUMSq3awGrXWZV93rwz6LURxaBhzHAVmEgURGYh3i4SKVpx5cKJghCOgGLiJtI5yZKffHXE/tx
FgtCM0xc/jyEVPpliJoIZrEm0bI3Rea9h+YcmuKhoHXzjG084hoEcinUVDDvBCXJyaE6NxbDNIVu
J+DE2wq6NGSlESDaRajqYKHLeJ3AlFEWj5G4+8tKI/DwpObHw0qIAA/lGeUAAQI0UHZlIaJVN7D7
KIes9/Qij9g+DKlqMH6s5c85XEeolROS1a6NOJjhAqBhSSd/loYx2/iiHTOT6fQ58PJIMgdfhwEp
OBmkqtMCamF2snOZVLso1OxNXczRtVqm9pWiLodxzeo5Dz/yJqcOcJzXoppB9tAABx/KMuUCV+UC
81o5pZXYTfOQtCbPIvsFnEG+hsCgI9NrPb5eGpVca+CzvbGZGwaT8rz90jBc3o45sI6rrp7lNmoC
tA7n0d5zlgH2L3gYaQywwJqgWk3X1LbDzrXEvwLg0rx9WmmPxA6YxEIwfga5Fx4OPslNVCAfWA2T
WND4iqAzXQq6ktA9ehtyPFz95bWOgRESAwFdQe35UHKSAOk+kwLArYjSVcDjslm6yG/1kYv460tp
ChkIHj2BJU/T0IzaUMM0brn7ynh4BJ0flKhoxRKb755e6sh8nRjE1/kyGCflUPQAinl4rCpLIxgY
S8C5phQq6iDoCHyBaLa4K9GHOpCFr1jH3XIVyhmSTz8r8QnZorz10VgXMTQHyPWshuU8yAa6asuE
hzWoJIuti9z907sl5OfdHsfMBEyewmNVWJwooWWzh94IECLVWKfQU6bNXSnL6LyBOQ5vxixL73tk
u1eBt+loCpxEsevI8jKVtr3KF5bGFqPwEka8iriSUIu4sh9WVgR/Bm089XJU9bRF2divukRUB5gA
6p8J2vjnihoKTMjwAGig2PwJzuAGemEwFFbvOGkLU/ZON3HOfGJ4iaCwh/BzGdUWGIxgxxil+H4u
82X/tBwxCO2BJI/jZzB1BkO8HMp7Dqo/CaqqdnOTpdjtZOhUCfPUbWqvxpp1OIZG6DrLo/5KQnQy
SxjfyLyQ3PAuQys+2ewLzGu+mTqXtzHQceG2n6IMnCEPq7Rw007NXR5zZMWBhfJqqLtVtBwHWVK+
jUZ+PwJLn9jhAOTNqvPDTWvTu3q2r4U8mhed9sfJtEzntWkjmGX5cTRtKWSMdL96MJeGu/NU5Nvj
UBqaqnjQH8iEVlHpv86lzeNwGI9zaW4pV4sd33dNuxr0cjV/HUwTtdirXEpToB6olHm/dO3X4bRm
FHHD1bknWZzqbn86oDb46nP/yIAahcaDygANA3lhSwf8TRGHPFpHCmWmLKLdMraHiVe7PwbV/g97
Z9Ykp5Jt6V/ENQcHB176AQhiyIycB0kvmKSUHJzBB8Ad+PW9QvdWlaarU9e6rKzbrF9kx0xHmRHg
bN++9rcWY2qHgojpN6BaO9xR7mUtjks/smrD5l2vUf0QGtASGC29xwg7W2aB+lt9orG+X9fw7+ia
CkgZR9ftVL01mB1tLX/Sqz3WYXCj4q309e2FYLOJeb+sEFjYDGmqc5lx7d4T6W7FINn3kl3Fq92F
aDPe0hYb8AE3RSc1qH2jH5y6+pltS4amNOsbAKQxgwVyzP/1bFvcgV2xkj8FmpVYxdmFcaMEWCDR
oNB/AN26mT1zLOcuFs+zGfOpV8XfmLeR+Z8n3pWRZ5PCX6qb33JvncdDWA7+wb15BCOgBX4Fs5IP
US9v6Gpx+v1L3g1I2X4bsM0O7IpP7EyXNBukW3Lmi5M2XZBRNL42fb7wbpUIH5PFizKvG84pojOK
v7NucdPsKDXvw1Z+/i3q1oD9gXnD5L/gbsT19346fv6eeDN4uJTxd/6EZ/tz47dXYdQWyooXQd4N
FyIFj8lvEbgm1Hmv66/fU3C1ZddBZYreQKleGtD5ZvdPoHAdnc7wYjynQ1z8FoXD+WAvug6knX0Y
sCuCBOXZpNxREozyXQ9gJzkSaLJkrh9+z8RZa9V7umJ4t/8eibOtmoGaVerc1dH776m4dVAPTdjq
/1MqDif6UpP0YzzY69DMD/8FxrF4AqBrQ/cPMA6kQdYO0/U3MI5PKEHezG+HFuf+rA3fes9/Srf5
5i/ZONK++VLkGPe+G1Pv8N/xcXJDAyAxgS3+CMl1SzSUqZ5ioC0/knLcGl2j4PxTlNwUp5hAryHP
5k3Epypt4+d/lpJLVEXRpYjOfonH7eFHQK5e/KxZ23T+V9FxQQpAARjCNu//eTCujhbv6y9MXNR0
6VOjaXX7b8fhBjeKBwgo3QR9/v8VGm6QU/KegQv+J2m4nlFoM1Hy/2m4fyENBw7Ze0nW+vxnEG7T
95UXBzjy/btZOD3Z4Aube5KjX62KkYCSiYbgdSQAjQ/eoDGXNsu0pVCiyXrVxqEDGMoV4EEJuyV6
Eh0/V86bX8MWih8fWGR30RoNfQklxR6WKVg/J/EyjPm24GDbOqK7XawsAxktsPNovtLbNUrCPov6
cLkfqnR7hV/RP0TDEhQgUKy6a2AGQ2urF++TL2Bv6UhQ70Rj+xdVAwxfSDvk2oC8LEK7LcVAK+Bj
xDk4Hi0sovt6aMSuQpN9CHGuPUVpNT55UR2ZTEcRjYB0BuouGmjt5Wtt/Tlr+yosOZla7ObjFg9Z
5LRtShyN0+ulT/uSzBu6aK7oU6RStEq4z+0RNy/QpZyV3fO2798YdKtHCz/ap3H4urgLN7SF3ReM
qegubuKr1l1PKJBFKsLofqQovgtMm3m9eRImEhI/ar9Pr6ZpTsCJsQGot7NAnmuqq4/MjuntpMRw
ctLq06RCrwLWReZ3zPXLGR5Glkfwp0aGd4d+ESQffNqW1IBdX9PYgYAyeg+IdS5jL5h32xbiu0bB
XCyd9Uq/Z+FRr9OFs8Zx8oODpbnNNSY1j804p+27zhNoluNgOvih63fAQFWf6Wn9EnlqPntLFx7X
blXvI5xK9hhui/tARWY/JvGFIozcro+9+m0Nh+1FOdHtNJCuKQi6+zkOX0ZTo/v0nCs2d+kP62CB
Ma+WFbrguRX4phWU1vdhF4bnOYn4qaczyzfeOpUtAJiO0UqJyxTGeQJWCDpdqdA0T0M/+G1mRq+9
vnQLtxqYkjzNE5xMIDBJVAR8AZK21B2/30LR5NTMbNcD7cTiTAOBjxTBfexiUlacLk9Gesm+qhO7
SyLwBHGgbjxQlGkWK46h59BMyeMWS7YWmG/BwNUxlTzV8dLfy6lSOleBVzd7N/kQKsaYfqmJ4WXY
0ZEUw6qbe+ZHddH1tYaNo5YcJH6qjlEEfB9Xv7sOiXdYMXn+RKH8H5feCojaYWT3rHKpKWprumu7
buNbDdi1zjcV8a3oQq0wDndQ6goeN8FuQR+U97wbvnbe7N8oVkfPNh0imMZApF3brqEdbAJBB7RY
2rkYZ6bYTg5svrcckOKWSHkMer5li2zg40mTOOOgeG7USi9Le96uTI+v6Y0SStmimI8Tkm+yKqQf
R0hCeYLGPF+9ESgd7IJt4VgHXw58QQ8EjewujGoFNEfp7Qrw7peaprBlAee/GoHEHaSww0e7cCz4
mBdKevY4TWmahYm21xw9J0xRtLtFywVO0SdrnixSFCqkn4R15pWYCJ6cbfbfNWPiHaYqfvGVv+VJ
q+GlaDsyZTWJ6bFZ0iVbZd/mw5CKA9tkvePWTUU1RN6hcWta+P5Aryu0CIFzskdBSFnOUf0yG4GC
9zDEz1fwz48gKvq94KY+b5OA+9FGdih1bOlt29b0gbZuu/HUCunCpRNmQnH6YFQ1PhqgGVPeBovN
ZE9A05A1OWLty9eaGq+YnKleFqHHe89JYfJGxrLsL5dojFsAsYGYi7hh5hAbx3e0fQcWHFV8CLj/
FPrtBgVoxcEVs0CICD4fmjMf2dHHRT6RcfuY1IHJ6DglZTC25OAP0uaV012deYaYB+D+X5nXyw92
G2DJqc3rXC3mfWzST5AVbL7GqIE+6q9r4fPqjf+hIpG8o6gLu4H320PcTi+eq6pSBF5zX89b12RK
8HXPdQ/KNhi23J+ZK2YDIGUOoLGadOrPhI3pLmST3lW6N1dJyqOyll1a8srl/SjMMcQh7ww9ag+G
FsY6cJ5+2euNv5rE48e1hwRA+6cO0GNhx0mdcK5c8yWshuuU9vPlGZgKXYWf5qa9OB0WtksD/AHv
xW7oVfO+GRg71fBSgM1l1UEkmyz0Vic7T4xeuRgHWYH1KYrBMu6Cfrj4Lsx5FbPJBjO9wKmPgwqN
5hNJiVoz4ldJ7vuNaOHua1LoDlVVNKHHnsXab0OmPC1ADfsqxOPmp/nY8nQ3zB47i26qc3+Tdm97
z9tvDVXYAPr4LJKlv11EpD6rYWD7eFgeZ1lFpS82UtZwt73Ojtu9WwCSBtI96XQJMO9X0UvXNO3Z
cO52Y+vaM/fStCDNoQmH9dQRRY5B58iNmcGT1lLOB1/zJJv6pCm0p8bTBuvTZ9dQUk5MjDnXMawK
c7I8h+Ga5rj+Ko9VWJ/A+8y7oaYfGvi2ioV2G6zMDivcrwzUYXkwvdhyEcFM2PkdJIjJa4ab1E1q
15po3gVOh7eJpPHRr7vP/thML1OlwwMquj1VZsIESfjtLpwj/smtkciYHmogMbR9gVYzfzQek/dp
w5p3gSVZqCN4Y/uEXk2uGgtAgyYLotSePOsP6aEZICvLcFG7VdER967b2qyv7fAVnvOmoCtoXbHt
6xkTx4YcSGDqm5TVgHc5Nl3iQfHy6lmfzIrpfm0rW8a+JAVuWZfXCi6+JJr8LHXJnuKaQiLyE9B6
Fo3SOOVe00a7SCCkoE0CWDGWtfDWzpS9a0VOx1Q9LG3HD6pBLXR9a3YKoFSexqg9DGeYQnS9PLN2
WXYtSXBmThukWPiT1nCVw27vGU4rGM9nKG1OtPa8drq5i5llQP6dKVdGN6xTdjIx/NJFSp289ZvI
vx3QAR48dHXHpJ3nfJ1oVY6a84cOZ6YMv8AVU5KYDASXqbNkSQ6dN2IwSxQcf6MmWVJt151sPpGV
sJtOh/a+38SNHWB3sd72FupJ5HHfnpNmSLPABcFXWdsaTsphvd/iqCsDqKXvaLN6V52UG7I4ljlq
MsLm58oGw7XGFL6oo+FmsvYDxsMqC0fyOrStvfVm2RVzHXhZoBiAbcLdofPHDk6vqb1XVmLfxjw0
I5P/MewUha5XhfPJt0ED+5qu9iRoajztS7urwyp9cX4gdp1oPreR2671iNFVLsUW53GDOXhop3WP
1I3+zaK3KicAbkc/UOLOCSmLIEDNjQmalQyeummCpUOHH0Lbksz1nQfQPeifvXGsrpKRJWVbsTXn
q8/AkVRzFix8vQU9+Cnhai3mrfHrzNTxp1YrmcNF5B9SWB2e5ggOsKFnqvChncOE2AuaNayLsX2I
7UM84275atoyHjb8Wabptd/OEKVjJ/cOcQU3XbINz/0wDdhQZFVY8NwnBywKNseVQJEP2BOz1X6V
bjymYc32MrXm4zTzaUfMciM7DX/qgMUdzam6Z7yPPpNOvwShG67tEKu8WReTb8nSnMDBs1LEY1y0
rAlcubBxvjaVHB/XdnL53MNNlbsObplMLU17Rau1zTmvv24Ew/a592Af7BjJt9X2J1JhxAZbqFrK
idZBSfplK0QvDtIf7E4lGGkEiJzJ+DzCcCrm9hBEsEYu6Eiv4azwd26rzl5Dp0fK2roEbQBCEsF1
xejH8o1WXOZUeyO6Azx5aZ1EfRZjVn4nQIoB7kR1hA9lcfsoVKe5rfXNxB1k4275kLbmS92IuIwN
BgouMmtJtpTsU+f602IlC7NOMfsFgw9/yD0u7bNI1/oVCQHmLdJfhYnh84wkOQQVpgWQ3vo8Drb+
PZcatmrK5pOxLjy1erF3W7BiC3EM9vSgSsdDJfwEzt6Jsz3p/TBfcChAv8klpDxWPXCH4lXxrTs0
0yAesbsueaCGqhC85Xml2kVmNA5l2ckJT1LrbWsL+XhEwyhb9aGCCwS+06mCX7OtdxNMMris/nqi
cfrJhIF/Mi6t9m2nMTYA9Hm7DkvaZ7Ug14gz4NdOdiIHuybT0jS6JfCrmdqVNU4YfoY22sM+GikJ
5+1qWrtjWoK3iMI17HKfG8LxgbRyxRiscKZ2oDHGQrotMziCPEEyHkqJoeUxbtu7GlEpO6TmwnOx
YaATri2mOu2mSyK39gh8lGDjSNTL1sOtlKGZXXiOA15L86Dja8kmAz9Q5M/+CnN27e/mpnmAZoXh
cAvHpVrRDsZxq9BGL6ygbPNzjrSAEr/G3VTJWO190cw3S9WRPKi3cAd3Uu4Dys2Zbs8wD320wzZn
YdhMB8yemtKHNU1vTGd+RWDW0+l85WhaHeDGuTNOGngWDdrPOlDPxIYy12QJsq2aG28nXbW8Yk7e
5H2Ek7REBsFXB+bho8T2eC88u8JjLnguYQ/e+4zT84xB5ruBxYjm4ei0adb3gfiiOPf3cRV+SJXq
dy4dgmyGh+Dok7Y7xp5/xWX0ejFOHeN+VEWj52fpQxfvQmoPaY8kikiH265Pk+m9ZTNL9mvlpp0K
Q9TfcQijPVKMokfIpm3R0Vnvqerm8wI++YSYpbWsg7D+AK2ft5kzNfzWo1Vw8FfjLk5HTNmSprnx
rE72OGnZgqHjO81YpVfoDBC4ouL0MIbcy83EwhPSMQh62Ik+Q1KAxJzI4MrUbDxHdonv0pRjdu9S
rEKZoA+fIWmXbMQji+NUUPJugdO9atjdstI222ooOhE386UXi67GxYZo2lo6f2wxzZOXdKEwgUGq
Dx7JRBsvIytnbw0AnyZD/2LuhmDBhmEwZJrQN5yqmY9nbNYY3iVVfKUnpjC18r34MAdtfxy8NAiy
WMPrqKOxerfFtTzCo0WOieT+iw+zZdlurU3RSdQzSqvdcEQG9PjBVIDNRaOm0ifpsmviqZfwIThE
EQyxeEWAj0HWTKhv+GzQc3fCbTxfUMlkhuwKGORS3iIWADk0zUcuV/xsw2C3KlZYi84MQERBMXf7
PNXCw8NTd/t29RG2UMnN3W6eZ+5l1QZXXTWoJ+HzFt3EsOIsiEnCTtfMXrXMEQGf1jS3Bex0mJ9s
re+/uaYz14K7/hPpmUzzmi3izq41HOtkg7/yup8GNAGJluJ6TCaAX62G+aiIlyZ4DRurv45za6Z8
9e1wFYgEG/Mi4sTLvCGo7gbXzNh6ceK+JjNA8bOJBy9AylnEDlqT+G2FbfV6Q138ylfJkyv0Yezg
0xD76uL5iAibU98ShKaZ4UqxIYJSNHr6yeN1+JJ2/fSZDAqmx6HiIkENAy7jUKo+zCNiu7be4uPO
wmuu+Qz0t0Wi9kuXtvprGIbkA25ynGGkCm+7C7wwg3tPqQKwCk/ylE3dnI3UAxEKzjwpRxzp4G5v
g0NV0+BRdWa8WWtCe+yMzTpkPJDhuR57YAuOTCP6pRCe8aKGTRAhKnx5HrYE7LyWPSwb4bfPRSsb
5aMSRJRoMPX7cV0QStK0Fn+qCRXPDQu+CZInbylIw3M01wbySFpXh3WJl2dZBR3ZwyaYnoTZNp0F
bG71mQ8xoRmwz2Z8FJgcw3BGON/HPYiZBjFr46MVqvXLsBdh2QvM9wsrafeIWSVvj11S1U0+YQBL
4ec2psk3WE3hSE1DKBsBnvpqFtQU44hpKzaEGvx8vwJtTmHbu4rd2D3qRCDqbu6XaDfFMy7IuI64
pD7IU472X/lhiVUq4A71NTqLfgTF0yLQYc4Uh7qRV/HWPULS4O9gSscJOvVUWM6+Ix/kCLMs3OSi
THvRvSC2xiJsJgqXvPPktK+Gdfo8unm68ddlPbFIzA0yl3R6A0EWP74dwWzC2ecVyZRineJEX50X
iYWZw6oFJjud1Xs2oDNJheDnGDaNstJWHJKKgegZ4pV/8j0urqNVAG+zsIfYnWEQnnJR44C0ayFa
2lwBQ5CYMa7yETFRi8ibsV37YkICGkbwVQRkZUzwn4ZWzfUMo/gLFIGmyU2jDIpFNy4fZRrpJ+GG
6bOwVRBDoqPeRy8AoR9Jqp+gano43K0SwWZJS+MMZhf3bAg1rzqFYNH6Q/KCMwO7iSlfNoz607M0
DP2B7kaGTX7w4FsdUa9A0KAfr4ILQNcpPpeiFgCHxyjIyeKhr5xQSG/wHEx9vkCcbXMxd8DZqb/y
sQhUBSv9TBPK93PsyDvVtU2SdxNgcChYWFnGivAlgVV9yCpNcSO0iGDRN6TDzWyFurINnBp0NWP1
ANgO+y7E4P62gdGh0Dapz2mXdnfpNFRd6VfQVTNvwUO/4X5DAIX3dweYba1PYIWjF6p7LAKYPN93
wcTeGK3Fda14ABlydSgPZAIAP3khPLodTuaIk1kbscJxT/DwdPKCLAq1hXMRdVH6VNcIw+njFCvQ
Uxo3YZiRo1CO4Qzw1ooIiRMDQrleuE39/gCNyj17SSMOBKzbLXzu3SNvwHF0DgsX20J1rmPWPa5R
rJ/aNKnHUxON8RsOO64vEFeFZwPvZ0BV4nTz4FfwJDqzCWT1Hn00F6UMq0AiFcbyd926BeizpArG
I97iUD9gK9KsSExbiSNbZ3EwScxBouD56JEcpMmHusPSbpHlcIN8pGm/RrItpepQdduVv0NWAy5n
7AfrcOvGZEXTUfNtR5CfIMpvDNMMFvmrIlwGO1lZlHumKJawFpfne1I46NwkF8fPsI5teeEaIxyy
hyHY+a1DvccvwQ9NV/fa0RSysEsD8zjR1SGYoRJTKS6VecAGgBgnJKaRqOJIY5LqYWiGBTkK/rTs
0NRjB2oZ/hqKM9kHYljPjCQG1wAWkLsRbt7oQ9uZrsERsmYQUaGrXxQq3CS8A2Tay6HGYcj0PUvy
NRCsu60nRBPqScsj8ZQ8ptIjp2mrcS+wySEGCTcYIndsRlpGC/4s6q1FbXekqW67iKFGNhtFnYsq
iSJCtEdfcKQk+04A7Im4Vz8YrO9bvbTV2cGpuJvqyB487iM6YkFPnfdyw0VaYdeermIrxxUO4wFK
6+AllXdae9KtmZRYcIGNaJjbVdh9ECCCpEDGGpptApV0X2NcAwJn3pJM0BaVZIgTUL4wZMHpMs36
aVE+nsXBsPTWKmsLXAd2qHTq5S3tjS6ckQYTkTE6ScwTkGaTgDANfBU9hVjd+3b0eo6+TEYfO2wo
6JL9TR8Ud2fRA5q6rmENTLOJwW8yhADB0TyIQ7oIxIIIRK4IHmGpWM9fcpVg8gGwC/sFqVf3HCK7
Dn2jwSYVJRSoO127RzRansjQ9mDxTiJFYketkqBGwmOHDRPdYXCFY/x8u2o7ZU7ViAqqxxGOLrH4
d9Cobmc/RMMyED9jyBHKPW+BG0Yt3mme3XiCNIFvE9W0GnNI495h6TRawD62qPEW5f9+xuHIQqJe
RnIlUty7m63yYaDxHDS23bL4jXcGeSA7nFkUImiE3qL/hP//bVbr753W/2v/RV7ip8f/e/zYP2RW
f+/HxgsbGPK0L+bT/z4e+OcX0HyLFf7HP/wvb7b/H4hvvYSShiHgQpg2/pYOjKh0kLM+bFrgZCP/
29/8zZtN8WIPP6YpXABxHMNr8g9vtv8fMQNyS2Bxgb0Z//Z/Ys7+hs1+B//DaJfGkKtAPmMQSBCn
+CPqCrm/El2ytodkag5jAzFluMSGRRs5U6BYvWmhESwQFIfHxHRbRl0A62E0v0ii/8JUE/7s9iDw
bsFVhZ0SqccRzL0/fhY6xivKxKYO8JXGWQw5FMWuepAewzGdh91OBQh0wcY6PbPUbmVYubXsLRKD
QoxG30b6oZI4TtCwPvqIQLhJa2PKaZ3TgnVjs8dYLcnwUpCuRMDKeDum3Scki3yh8xBf2w05jHJy
/b4POLnokiclQ3siwSL2GELLz106WegdvAJrliQ3rF7f1b1Is35rxrukTtcbpI2OhdhUimZ+QhSl
jwFHDfNZgdG5BBneLx/ZAjnS1PBp4+z9Fw7Kn6Hly9VD6ChyGvHKnvgXX7jo4xg786IPGJ1RxFOJ
zz5vkkIZVUDNC6+Ebt6+W+13/7lKvo+WvtyP79ZOgt+IDOUUW/sl+Jb+Qpr/PUN5IfqzGJGpF+l0
/Qvu+xer3bffEl3sKTA4Y8f+ic4H9R16ggJv9mR1NWqG2OMYaUcNidZcI0GjG3FbEVGkUauROprh
rpwg4YjrVW+HoWlKSWdeQAeNdyIakXGlvGK+QJ1/vhi/WbywfaOiI7WSIQL1p4+5cJ8BP4DtO3D0
xsiZZjXaxTy0VVEF+Fg2Yc2pW8erIAXs+uffTX93JwIkAkQXZ80lguDHJ2fxN4eUvVYfutoueTJC
ZqoN9R5x9vF3zbbcGwAru2SdIK1tsBu94bkyT3PVLFfboMKrdezCrJW1+xj6PkLPpmKpRgc3mXI3
tgdFoGP8D4j+izGFTe8c5n7FIAO1H01kPuCyxOhkEagDhPyVj3VOVkzLYrtypOnJ8JEJG70qpOsV
f/7ev4D6l7URoAbCx4thPWy2P37vedu2WTYSA1Goj0szvNZN/z5uSZ8hO/yTmhF0GSyAU0hk7uFX
0TsyGYQ2eteEU5lPDEMUQxF3FCOX7Q7qavgXHzC4lM+fHpGLpQSmfEDtv4ZRIBN31L4Y1YGincbj
4d8GGMPnWycfqrj19gYhNHtYUgqhRnuycsCcvl53rJ7d3g9HitOPfvQDwvPZLE1Zjb3Il20kEHPT
9ha54PgRYbIghWv5i2oc/2ZBw2CU4OHGWPuSIfLjte0jH4OOtIItLEiPiOGFTcDyz0iqwVGcQM02
l08MJOO253Ow25DBlE887nM1bwwte8DB0lifZyphtqBiYAU+bVJgG/RAC6SfPBUkxdgBAqJO8fe0
i68b4qbcIU8v14OxR0y/hpuNpk/eYC4wbf9Yb6yuMUUFTzJR0iFKyKANRkgavV/6NiwmjlOdaoZ3
BPbjXUw0ZNpt9Fme2vqOESTwyMV3uWTzeg3LD39AVIHJtXAuH+Efzfx+YHm/qAXnhRbbwKTh2/ER
G8hMaEqwQ7cVwmbPMm4xDwr0V2gQaQFL4MduZRgNJKEuB7w4r71VHAfVdkou3DvG7fCH42mDiIZd
QB25BdsUUci5kUm2O0XBLDOLWRH6kemB+xz7bUS9/3mBCnEnv2VSIKf0550+6hWyyKHCISqXIG7r
eoiYl6O2A/Pv5DVt16tA2lePBX+Z+/+bnSkMYZKOGRyA8Ev/tJIqZJbVmEqqA+Ybn2KhS4g6nyf4
jwtciAuSTmGcrZtXsVENyUNyBCt4bg94HUgsnY5UzUHubLu+gw5W86xDU/LnQvLN7//zc4rPeHEM
wgj2yyaTtr6MN9qrQzzAgKJgA73WkOXyiGsMs8Fk3Y+IcUSkVqRzgCrlatCJRI0Bn56wU0CHucSW
wotw2+7FKF9wsmrKKdDpMYCw7Yx4D5xi/osgikt4zy/VJYoQxxIg6ybBnz8+oqp28YoAQQRMb0h4
xBEIhgQKk6gBd4hYcFJfDzLxPvN0IO8cM9tOi2Y7Y/zXgpwbMA50mLCX8NyMGLhtaocUivsGRMWi
+LFCItnjxsOjmR9GxJfniwbNE204qPZIZkBrRt2uaqo96xc/FwNG5jX3HgIe36abew259vO+r/R+
JuIuWd1HYPq7b8WPikhDDU3nMqDQkOF7nyBHIauHp9DNagJHgU2byeRIKDwiPl8AsA/PmkAvRq06
wvu95NMm3vMN4pIX3zLI009/Xg+XlxX9cmXhAUJ3TeDwZj8v2b5Vqw+XvDwkFKljdDtXYn3yl5bf
IFY9KqrOlxleRbCbXMDzEeRXDuUcBaDHuH4GBAGvSIlZBynCuvUwdU2AyRMDng2FfwguCYlqeI8j
pAU+sEb5t9/iOZOFeA0lNFz8pIiC5/OQGRK54Hpt2IscuXz5dp0HZYLCBebZZyt7Qxp3DhPmkAGN
wTAIxBqSzKpLLh1mcGZU4+7P1yb4zaqLkACERh1VH46pnzodolI7wvMvDw0b7zWRV74aMGR3eipc
GL7D4+XdSjSDIUcKpq2XqOgsaXYBBJ1iQQZZ4YvKP9Nmvh20KnXFP8ZdfdNGBnqMwcoyHVU7/0Lq
DFK3eQxzMjYVdSsWMr/9+bv8roGAuRsxLpBmoCD+nFJRG2kTpxKUJs//RBc5PZB6808h2UZwrd6T
gcz4eawdpCGE0+W1Nh/wHOG8311i4pA5gdBsRHMXDvX22KwQSNKpgeTz54/5S+LM5TLjOHoxWsIV
C5vfjw860hfpTGsEjwceSNalNpeY0IDu8d6AHhxadTUPCcualLMH1tBHiR0s24CssjFp8mVekJIu
vPR5Us3z5HhcRAYuqq2avDKyItgjmR5oTjuT3eUQm2nao72D/wm+ofVBXzLWPb1hGus9SEJtzmzI
j3/+hv6vDkC0rjG2J4ZI31+7DYVAjRqdbXcgfDxOWPtALK8SHj95Ov6ytP1+XIZX0YU3XjT/Rff8
LYHs++If4fUv6HQuIS0xgXz1Uxm1mPWP9SXhpifkWKP7EERjCaA+RojXDYh534Jwbf83dWfSJKey
ben/UnPKAAcHBjWBaLPvpcwJpkyl6Pvef3196L56TwrlVdq5s7IzOAOZRETgONv3XutbenmWspv7
BfP/thSfvYLWe3j6KYBJcJyCtoOney0lf2Ed1GIJE5iQ1WFZ1b1mOTPZw0yVqGXeOIwNzngaLxsZ
A/nJknwXiZqqDwleauPxgf67SWcRnfd6j/p3zuUxKWtvhxFd31ToUtPQvFL6yn41ieRAl7zJM+Ps
7zfxAyP1evox+fgsVfsPNhjHAqhTeCAPWhrp2z4U3peJjd7X7Hw5m/h4l05nwdxO6nKjdZH+2LeV
+laQeeEbqEEx6ltfuihOt62aXd/O+A3csbG3mt690oBH0sIAOqBxPl4hS+kOqcXt+OQ7nO5uLAaP
cC6HlW6tT9zJbYAsFnZtZQMzH9G2e0joXjWpbtGpbqci4d2oqrNmnuRu6mW4i4z5YCAi3TE6KR+j
2qbqHKpAyzyyAmI149RUHlrtHLWPwTdkxvNWh+zvUNoRIUoDzarYLiqbN3r52bHwtLlDM2A11OKW
pnAEw3LqpC90Tc9gsZaHssu3jC36C3MI7etOG9hRVy8iuUfXEGoPUKYbmh4mYn6Q3X6TJ8QseM0n
D/lP1tHJEsfWT+9qbWy5cD1+X+JdNSAfN5ryAG5370xNhMTBiY/EV+v+bOTfLVkeaN8mO3eA+22X
Kt+1IkMfban7uBZbr+of16wdv4vz4wRYBTY/kpibGNuyz/kSgVexaLsYpqffuimvxmz/9+Xxs0o+
/QoeTCNOmw7zpFNreGt2CgHOnB+QRZmQuntkPGZMPNMYohBsXbDHRczUPerPlrD5QVDEvcYt8Gkc
W5vZk7ecOMTXxGiPSerKp2FGRoRCv7zMk2I6Q5G/6qZFcl6VaXcts+FcagMaUG3czXa+F65207AH
8D6Mga5UQYJwFzhJ+smWaLnrrfj9e9L95ODK+gEx48oTtEWFTozxTpwdEHfHgdPIJ7CKjc/Aw9yb
cw+jTBVTFJRNaj52WgTjLsouiHWyXlEqL4ccCe2VSJqeznheA9ciGqHCB5FrIkXwXLlQ03u1i7Sk
/Vpm0KnHNkUxn0dvqZLes6EXGUPLyLqRaekEQMJXoEeUblESdfBnC/PQFPayZyhmQA/PtkqLruTk
UpxnqJgNmd8W7VxdaW3cXSizO+/nrrzIwlE/4AWBIb8Y5pk5jNpNVNbfGKSzjngnch6q7awI3NZ9
doZ2awOJhxg+I9zpF2OLiX4/pNOLGYWvZm6yhXZ0ERAMqo09TJjnGXftSoF0lk5FssU+EW6qTDQI
PtJDUtty25tu+FS5tnspPfQIEph0PJv5LjdJYo97okOGirYWTPJmn/R277tpIh5bo/wqUr3cqK5t
rgpHZ/pueVsiTR6yxp0OU4/0uVmuIMbnuzmPRs68+bQxW0SoHiPHisCC4qUkyqQcLO+CzT+ZKNZn
gVU3Nba1pPLCBkMVHqfAnPsCZZGtCfFiJfOzlaZvuNPvUA0sO9OBHwbOsBEXWlO91a34opVY1pHY
iKBZpPXQjYN9uRJtfEPL3aBaRPlSUvoHZYT+GZ3C4OuhuYrsB2a4Bqf5HlnKjkCp2LeR620zNyq2
bW/tAX7PgRryeYMU4WsL+P62m/V7YqZu2j47csLeZUR9BHWnbF/m2bcJPsXeGZXar6QQwuzQYcZN
kvtmQgTayFCTJtUwHqcB9+fUMZExm/RH0VvyzhnS1R0fdwQmtdVm0Z1xV5n2eNkO+bTPPM05G1v3
Clzxg+WKr0asG4HijB2YBZoUysPkQu9jj+iRyPgpVvKdmc8XthoDO+H0DFatWxTua5HO+TIM2zua
4DuQAbwrQjqXY652why8fR6tu5jtdH7VDD8WDaR82OfjYcJptRJYSgTx/VcCnaJjXi10YUoeg6ly
8wtuKn4GxF+X0qaGmgeL7ItIPHUMqhGDSITw0/pTwVFMyN7Qm5d8XMQuGdNl2y5Fw9ZvlwjMdPOy
gTbgm0rweEzCgnXilAOmjcph0+6tq75sEUJMpveSsCj4bpl1NRTkaElYNztrmUEg8P1vuyrzGImp
8sBYEfUqCUdXQ+yVBzO18xewiNaujazh2HHquW26ethOgP9unYRJbKjFOO3zZdN69YvTCxNl3Y8i
YWWSfIeEAnWo7jXPg9EMWz5yiv+5SZ5zJzpTTAsgsd3SMmZXysZb1atLyxof57SQAGBzHtkmPA+j
XMMJQigOeVXLvbKahbkDXafIDK0jBpP6jNad3OguN7KSTgPILXnNC9KCzKatfa9wGSt4UDXc5FyS
UrKJogo0dyE8/tkaXnvSDijJGtvvQBL9qLshfMm8rPtakwF3iXSL2gXZLhkizRzS1Ep1AhOsvNi4
UOEO1VirTbu4l0lvYBezz0ONzKhC5tvQ9u4ld17OUf5Whot1FtPCDPJoyI9jlFa7xh3aq8UoZvxY
RCE5/XiDGgzhmF6aF1ZjOIdsGbqbQWjiLTPzI/C/kl9LoOCeOMBIDkDB1GBwUSnryKwksSaqieFg
L5Kdrs7DV0fvxDdUYu1jR6wIIXeaebAqW113xcABpfGUcx6h6OhgAcRPA6/rgKdZfM8S6eFFBGQV
kMHQvkmryB6MJp3PpcqtjZ2lOda1mO2nxf/S9bqzM5PoCpngS25a5cFqBA5xJck/sp38oUwyecB6
F3Rj537VFGYLFmS1m9NOHeNhZoaVl0uNy8xy7sZRapeRO4pNY4ANYB5HHl6dG4iDqhn7EM6RJFJ3
k3I7EihC+ZTR/djo09I8ZnYeH4fW1N7CxRnf62UZjrnI2qvOavSIBKGcGCDNyjU/JGZqZ5NJgZ54
uEmkQCDfuw7pIUiffQelxYHJjwwyND24SDDRFX4FgO+iMJblZcL24CeuaHaiEExTaKjtqwqV0Wwt
Z4Utq4Dgm/I73rolULx2wFDoKa2zcbo004yRsOq6y6TswgDdYuiTxyJeMyr1dSb+lTFytJpU0qsS
tfC2spb+3OzmM1wEzja2eYV79Zw/YsKTvpHwmI+2Fd8vRoeqTTnX5Wgd1nSWY54vaZC3WAVh3Ic7
JmTdlqIsZNJmkyCAIayS0b0J/vh2CWnxJuE8H7RGZ2FrQrtk99/3edece2mEghIpB9FLrqPGo9a1
6gtrygtwBXFbwtzBlBRGT2ZjL49hPxRHltzagxov1mLZm9HDJTZvuggh6VbkTfjoQG6/QRvBhjdP
dUuGj4lfcYmnw1KzojhCZdejJm5SghY2s7T6wDAFWvIyE4eIDKbdMs7WvhlgdxQluhsD8RMCKcdd
Izpyvy3M/hiaVrEDIC+wvtRNcqmmsP7kMGh9VH4JcgR0xgYW3NCTI2kfJ41RgGU7JJx9L8bB81vN
AIeDIA64Q2EdKrMgwsSr8F5MriCqwKvh0UqIJ0WpFEIBlleY6dYXVGqcPaL4DjeAfaTK7L+GzjDt
UsT/5TaekgVqf29tQrW0b32t7B9hOqD21zK98iV61TuzK4eZtTpU8BKU3AypVOgbRHOzpKE81Fjq
MDNC9t8R93JV9DGY/0g7QCqaN+z+7xCREayQV+j/vRZfuUanJSrDcUnbBlYPxKbfTxN4clvVKCJe
TNNefMFf3UxVVm3rmYimv1/KOB2GQFOjEUiLlRmkBSbo5H6oYWxGp5iLg6NhHC2hDR6tpvnWT1kc
EPew7PI8mu68XO5UhHjMG1GIRQ2xZ+3Mm1UrpkOU9UdaCki5hLrXHW3Bba0Q/iN2+uSMwtnug1/G
pWu5AsDoP5926GRbdK4Y0bFQ780bAzTx0cFusyVoAWl9Ir7aIiXtg4gZZLaUpo4kLM6gMa8Xrra1
qvXVpjdbY+hK5Nng/OkNCfIW7LYbyNkakxsjMkg7UFly3aM4O5Ifpl1Wbv3egGX3szqc+MNEu454
715oDhP4cdCXH2Grp+ejDZwVHey+YzskmzKv7S+8EjgkiHmh9QtRbADOEYXfTDXLs8EqEhbWKkqn
bXiuD891Url41Zjg4ir4ritMT0YaW8zV2Z3Yk9KL1kjP1UqQM/TuK83wc9wT7qbSdfdytLrmgYwc
QuRQS1OUpGa+HfBr7jnz9xtP5MNVnatk9F2Vwrg0QlSYtipvoiUhYMZI2T6c9gzdoXHjWHm6n6b6
rKJ7vsXqOCFOoN25ONlrUuTNWxFV13ESG5vQM96qcj6PMA3vEftcYbU9GgYKOWFP3QFl1T5LVcSm
tYw+BJTuol70a508q0u22+91Molby+2jTYVaEslDPJNEXJtIEZzwTUgj2QMDXC6Tuh4vU4xtVJAt
UUYaevqcxjRu3VDda3Y3nqt+HX9rlfBDKZiHCoIIeZ1FGIdsnBna/K2IIvb3zjuOENDwBGA4HjhP
z63A5WuK90hohOjkj6AB7V3u6jS7Hczt1RAJjKSTfTsMyBiLODIOJKyh+R9mfBtV2QahYCHUyF32
C5EYOEwiBLNiSbZtarynSV68K0KFzy2sEhe8t1XAgUZtCkmmZcxS33jsU8RmuBf2iJ2kzXLhz/bE
IVgwGvj7A/+z53e6uRAlS1vYhbf/R2pBrKsyjiMY35FhZXfuZFtfyaXUKYsteyDw2cqy89qLt005
F3sZRa+pQG0wUkFj3IsPGdkpN7Eyr7CqGJuIKQ2CX/yPddufiTFrdnbYqz1WxfJMZNkLw891XKqn
/Mwt1uyIDCPDy/d128xXHrgEv7JnFzFB1PqLlL4JkZQUIeD2Ykkr/u2sdm4dfTGoUnL3in1RAEka
1RVevZRkkSm5NKqJtVRDWTIbchdozh+acMjIDWo/AcZ+0MtdIW60qlEiGHR7TnJPmVjAHSn7/FAb
HF/I6Kzv6KXUcEy9DfnjHQXZnNZB5vZf67C9XDsHf797fyDx1+3a84i8QIkhVnXK76+Gso+60dHo
o+Ib3GB4/lINY+sn1YMk6zFW8VdNPEiCme0En5X5ydU/eFcYurB/vjD4DD9njb80cntiOE2zNPMD
7UACAY163jR83IB23XjoNGunOlltJGmD22LM1CcyoD/0Mnx3Lu8667BXwKc+eVVp5FJVpcflZ3gD
27jQn7pihlZWm/dmWj+U6q3o2SGQLe2sZEMIW0ATIcAW5vo/5VCOiX2+lO+DsPZ1b4nPXqUfvJwM
TAdwS9EUIIxbS59ffh5UILpeU3gfWpKshp52iMS+m2YbaxhR4QOvAFfw5jS8HA2cFg8yVZgnLOd1
GDCkuc4rKu/d39fL6YD6509mr833VdPElPr3j4TKbJoLt2S5iPxrFIZPI2l49EY6qnehP84cwz/Z
X/4YPJ1e8uQZqWz8xQZnfcCA2oNFMuEur+d3NUffUdrrCAPKm2TOH4rRDulEWNamdY3bmWA7rA9X
qZn2N/W0+jicPj3asWy2f/9F/pg4rZ/PoI3PU8TJzzhVXbVN0zgkx0P2bOvRJzDIul/64S5mXVV9
4xyXCBhHNuc3E3NmVK3prXLL4tmKDILoKqndZhMhK52JRBuxNg5SqULUWHq019dcM9wFbqBAR/tI
zu1j26bd3VB6LkcMhVKvRzlFYCLq2TCbAyGTdC9T+Zkw4YNmLl+SDX7d5U2qyJNJ5ohxMS8NMPlt
EV8ICfnALSVNt7ym/2DfpEwxOQRb8SYN3WZTVZRyM30kPHSEI7q5Z+4TzX73gErcZfgSz0ph3ZWd
ILI2tNLAykFi2FlW277uWCrQOXYzJ+ijLfLAdBc3w0Eg/y59UbfDMTPtDfkQ6qkbiqu4rz577P4c
L63KSoYAjLpMtKUnjx3nBR31Z8qks+mLDRsz3apqsL7YjdZfrxLPEUzpq3DQXEA0IzPMoQfVDp69
NxBP2aNTM53V04e/r7OPnjym7C7wXYFE5LTNHBddZCSGQ6Ky5T0pcjP7Rc6PYQNDhLZ6HVgZxsq/
X/LnlOHk1Q4kVRdo+XXCbE43oJizUYqBuD7EdsowrTGBatq12nN60XbLEs4XP0UHcV8yas26bDth
nDqI0EJL5H5+Yz7aDxl5MlJ3+CXk6TFm1OckbQWMc6TCW2m5Khij+TueIeJu60G/w1ezoyeRPRk5
cIcxZjg+pc1zC/xduSCfq0QP/SRv4k9WzEe3xkFdx11BauuY64L6ZZ8OO2EUxQT4HH3TYRU0bok0
CHdehZa0nxZEt/SdPrs3f46BBZJnaTE89Lw/aeuc4Y1sKen216QmIMsT3hk+uFtD9e2ehUqVnWuX
tOpvTaeJZPDzc/x9eayvx9PVwcRjzSBxCec8XR3zrOJWxyF1oKsJ6HXBUo3j4OrnTEmEgr7skJSA
l8x//g4yqTRRcUoDAe+pEmFGgpRxTK8PlZbZgRWO03XF1K5vPRWEhRyuk9H45JIfFWpE2Fjr5NvG
aXgqKyABrsgIbGLpjRm77sRZPwUpUWPNDpDu7Jhe9Rg8JuKKW84Tmp5+cr8/WGOIGXgEWfyGyZzy
9zU2z3XuGlFdH/TF3g3N8pyw7AI5JFiHs1sUIeX+H99d8PAIZSV1OqlYp8UR74FKWODhs5w+VIin
6AAAB3VuM+lHzltEQabDxedqyg8e8pUmver5XQQOp2JKs7UKAnWZfHLoB3tTePkRWbLFEz63n5Sf
60vrZAHzDK31L9Iwj1/199+U8EooMDJnkqrnBIi69mWp8NpEts2ZYGKq9fdf1PrgHgq6w6uAwqJ/
drqIxMQBd2xKAgU9MfpAcIyjMZfyQQyquMNxn16Fo4N5J0mvXa1/0yCX+JZsNB+l3QsENj9drgpD
KpzfHmEderJve3e6xfU/bPOq1i+8gRPPqNzxobYwBWWV6wV2P6tdomCJ2NAxdlJO0kcheGR7hX4r
yrc5jsv7MlXnkz1/m9vCMjmccqBvMdD6BiOwnV7bEwVugxm/L8yNXuFuqMb5UCVT9dbZFbHmRBDf
M1sOP5mDry6S01sEgQBrM44LjBynJ4RpAvM1gXU5oJeMKHnT605Gm5QH3Fp/kLXVbwDlmFT1XNfu
0ey/u+Gqm9AJZ88JkCRK97/K8n9k9Pm3gYm/uXge/r9MXvz3Tp+1S2avXpN/b/TZxN8y8hn+J3oR
xdh//aX/NvmgQHc8TDsg2Ilc4kw4vXf9//lfmHxMzsIcdNCZWRaquf8JYLT+95pRyOaL3IRn1eYv
IYHoY+IgTaxB6FAw+bjeqohy/onJ5+QJBbhBTh5SRsvCWIND4WRHSMa8MqFPtQdXr15NYoZ9N2nP
ajf7RjbyHqj4J++Vk+X983ou4kl+ESQS0j0522BEBikTJe1B2thxhqn0nsnhkHs0AfMnvYa1CPll
s+NSXIBOg2GiVHAt9+SrNfrkjomyUcAWCJnTyYPzRSLtLzf75l//3K8+l5Md9V8XQXfHk8qw5I/f
r0bx4eRtgbWDONy+NV8kgBDO4IziUZ///VoffiHHtghJ0RGjnSZ3tcAxI2vE0QDCub1GDQiELNfT
T3agj6/C+ZsVoRNYua6YX2o7HNei0rSu4TAQ75yCiU8ZV+MnX+XPZUAPiDPFT7UPjfOTi+ROAYMn
wbgD+6y9Ul3zTkGZ3TAwyj5ZBR9fSWJUYFzCW/1kFaCzXip3Ght8m/XFVCeBM1ck1lrNl39+c9CG
//d11oXyy8+29NJeGMs3hyRWl7Ebrm7Ndv/3axgf3RsWAN4L+lacSldp8i8XSUsapsVqbNVm4uHF
l3zG9rHvq0vDuZprRNoQN+L2jv+NjFX508GLtn//DB98BIZOprBwrOjro/X7R6iIB6ZmaJsD9UXp
54MGy5Ko+f/kIiwLqmxaVT87JL98T9MpLCGY4R0Ygi/nqeK0xaRA/rOEkvXZ/VlT022iiUFX7vev
MreLRlwot8xCPduGEzqD/ixnDPIffBlK9/93mfUX/eXLzOZoOFPUszKi9G0Om+OYOcl/8oP9co2T
VU6j0jHLlq/C5H8zlwM4BhpTn3yRD/a6336vkyWOqqpi7spFBqMG5dOWnR8ltXfWw9yHm7sYm7//
cCfHrX/dH2l6VENUkUztT34418sXBut8qeysK5B6isux+9IU14sqr7N59/erffTtqMPp9K3Xwpb1
+9Uk/X4G2k1z6Bsru47bNDnObmb6WtO8D26rf3K59Z87eTuxw/IfRxsq/9PnSNe8SQ0hnsDUHut9
mGGJGK08enEIiio+uXGU+H9czTN4ZH5uurpNOu7vX64BtqYRalACUE2iYdNXlnGM5skCmjulxbQX
1QT/KUZUMflG6Ri3w2TDXlXDl9YRxVbz2upJxEtcBMiJjJHRz1I8kV/lkmmoTfj/tJmhH90g8VhD
pzyquW+OQxi6e6crF8NvJjWRT+BhBqiIRUCGOdRP6WBZPqaQ4dJoUJ0lcf8cztVI+yydAcbOyfC0
yOR9GnR7O4YSO/+Sn2EX7JlvFLBSUke9xhOST4Rs8o6zcwQwLgSMkNfjY5QyB4rQ4fo2ttdmRAa2
R2n4jOS47rxDvjjx1hobMuK6nms7ebElDcd9MEPpBbnEdubbsnlugOuB2guL5jGKNfvOcBewWVY/
Q6XM6vtmCpPLxuq+a5YCYrubTW9f9DpMtsq+K+0GpbKZY4rrk5uouEv6C3pr1oUKUW/6o6mk3PDR
OnuHEriWRzICnOc57t9NGgkLnCqDf7QAUuJzPvEYZ0IoK9DBRon3bC1OuMesRiuod0VzDqKxY4ic
vaIyykBHjlOBEiGsmbI1a3sJ1EJs2L5lTAQjp0AcxKiVwayVT9nEnLpB2Us/YWMlFj8VXc454HRT
9BvDkssZIVbTF70hqkVfH/Ms1RlzNivS2pnqbbdIb1tP+ObcHp1ZDm3Yj8PIeVkSnaMXCmjwj/kb
+uIK8UpYbdy6Mgem8n1tBmLCYr5ROngDbBPOvgkz9dpZPXxMaAtC7Vvb7VD1GtHw4nYGpDY0YJUb
pEC/2wtS6eJdWtTDLo6mBQ3lMj66S1UeRdn1RgD4VR/93M7r29oyqpdogQAThCoB9mDac3onu6HC
W9Yaj5Ueuw4mndl8yUL0iWfzNGgvkJ9s15c247l+AEEUJPEkb6HGhBvmkR26TjtGJqPV9XEij+27
6JU4SBf70uQZL+M0bcu+T29jYcmrcqiJ2yBrh4CorDPOmqWdgFgz9m6yfnmO0xHKRbksd46dzcx7
4VqAvXHjfDk6HmYsH2lr3W+As0+pL2J3zvxSQ+L/yWbh6Obvm4Wr24T9rW57xzBIkfspIfjlhVUK
HezGullE5gCKskgKhwWIRpkPJ4+9UoXhx3Z80UXSF5ntnc2ta/5IiV/bQIiOLukIoAqz+2gPfUr3
O/zEO0G+0KXdpiJdSWKol9esYqs8nzoRwX50BZC76G5w4qvaJevZxFUzxMM1+l2/sW6bGRta5BKE
hIFqM7vqukb76S75kzV+W4bmAhVdBpigeMPHCMypNYpj1ccDyBy5tIgy2rG/ylrczOMKWzQqO9n2
U54HepFX+lbq8V2MsnqbznRO7d6jPTAM5Z5xd1cESTFrIblddbFHaGpedvXc+c1iWOcT6/qSrjox
bm1rBWnevpZOx2TI04sqCPXUDOypA91HPX2RzowwsOCN+5bg99d2zIvnPi4A+9oypJO2gAdNM/iN
LMR838CgvZtGmibGcPQS4/uiM4DfEbH5RRS6dT9os7af58QLlJne5JFeBHCAoJvVxED0StcDfSzT
c6Mwq29DFWODBwyiv6hRn+AC01UL9dy46NU0TtsUZtdrNCTt3m2N6CbNkZ3US0kknSqaBa5D66Ab
bnJNdzDLRulrwhZ/Qbus3wg3qg7WooyNabXD/Qw4+LyE9DsEeuquokknugLOnw7wfCFvtsqbv+VF
p3+rhmy8WRInHXZL5YkrDxD2TRGn5XVaDWBO8Z12IOB1E1t5P/b6Vq8rHWpMXYv7kt4J7B7p3iMp
cAKh6d5+FoY6x12VPBVJ6+UYMWeEXiZT9zu7DK07k37idVWCGs/JQADYisR4RiaEGkGv2m3iyh4c
Hn9RTYuxijTRexGHnF3kYk5uEkbWPmID8CwiA2CYiZXCFhr0zpSpDBZQ2WP+8dhJl+l1bFJQqY2z
p3kPdqsrrKdhyb17bejxlMuFEbsnootSy8qrpgWQqXVKXUqN37PV3PjrEIUJP0j0oq+4SwQob3Hh
pk+yS8y9rXd64MmORxJs6rgPW2cmGGl8/JmuUPXDeZ2kcpvl5nzUpiw5xNqAD7zKs2cxptk5x1gV
QytHx7GoJGKGab/jZVRX1tAMdypvgFD0gxlha8opIm2I5ZFpPE1D+G1ZUOzHCBvQxZXOofCq5SzM
B4iRlRs/ZrNRnBdUCFuBlfdYa/m0rRCpbsMRZ7doVXzQx94BxONQzI8AoUd+Z+AEt5aId/hfsGkk
YwssbVHTtA5z5RZYq/ziTlX80tVs+RIN/Nhozs4lXOFpskgg0LQJQFwiy60za/qaUwaDZ40QQDKD
eQJRvuzHNUoCbHocGtcIYOxr7CLyOjbIjZq6wbuKsJUGyvOSWzTy4BCH2t2uSq3LEAlpsGa8Rj6z
/A5Bd6ExbiHZyUD/3Pp620Fos7MmO+9GSWKB7fXOhtQKCRrYjFD9ZNFeYmphQmDVaIzU6zi3w+KT
K14Ra5NFR8RY4Y1mluFT5yVh5vf2AB4EP8CTWDBq+chy5ycnjCZeQhloep+sDfubgDAlgyY3YsR1
JePEVm+a713WLecace8+f1ry29DJgXLsVc1ba3nFGSpZDRtlpEGuk22y6RSsc1NcZQQD4ZxdJOVC
6dzolcm+HnUIEP0RlzqHvNjCh+RVyd4YHbVsDRfBjseL75211W9TaA9EYCowkBE+z0bP0/coM+Ae
t2aZoE5x2Zo7PX5rJEp2Csv4knw7dEhKRxJjTEhSyyxGH4uq/6XMxXuB/fs80SR6X8/L75o+xsHs
DWVxloo4R90jRb+beMI2QO4EbFLoFrHPdDY/dLaBSE1hcVYq6h5J8nGPsPvUeTpL7Ry/yLgplhwZ
ASnnh6ydui25G9W+RBkT9F1UnlUNrKlcbye/Mdr+ljb58qRplln5i4Pms3NzBKtj195NhWYhjNPL
e4IAzKDSYpAjcWeegThftkjXGdEtqdz38QKKFA+2T71dM7le8PIrOe6KjDoaciIz5bnAUQrM3G/G
Ir5R8MkOieqDMuxfo6Wneo51bcsIepNH173BOZUXIKDCmEm0GeBORI1318XV2UqHiiv3VZSvs+bN
VErHUTihb2b61mz1x6agTsMvJw39grDvFnqifgb+g9C8Q6kMQsSmADbxjlN/ccQtQwGdujuVA8GW
drhZhE3uHp3xUJsOzOGPC0Fs3Bfl63X4lBd5UNftuWJPpzfB5lFN16GsrtUCQmGKHRFo9fxocOjY
gthKDxHmDvZ27Wkupxu3G277Ib6tqRF7ueyYArb+aMxAenBc+ebKSTY41qagUzcVD8smHH6Y47wp
hgGOxDREW6Y2S9DrzT2+QMx1NrP1uXSe3ZAqUzKlxxQQX2DDvRtjg2QBd2k37E3re7K+UVEsAvih
/mQkxVNcTJdNVX2tIejCp5t9PGs/jPHCMPr3ydEUcDHvIa1xj2j4PArFyWdevpMa+ThbBvt0qLau
jQK3hFI5cZVBUhW3ELipVO8U0DQS76Gr6kxoiwlPWphdxTEfBUrjmg6ABTxX7Xhld3i5ywnNjamW
G1Vaezmr/RhmX6ZI3baD9k7hhN89BOiNod/vtOQbJzVKR0/yvrabt0lJY7P6Q2m0bivRhl9ZxZKa
VGBJALmJpwkQURabq+RPP08iczeH/R2l29Gs42PpNT4xMocQcLZTZhstC1+nvLiRWfHQIpanDzTs
8tS4jjonouE1ZHITxxXhzTKqu8BIXFjv9E1LLJ3SXKiazKrap9RAmg89Cgu41HvriSPiYGwU8GWB
HbS5myvrQuDsPtebDdbey0GZoMRdbrw2tzkqwdJCcm21W4Is5rXu7g5WkpQXrjuM3zHqJOdu9Yzm
0TvESJ/9pR/tDYkA87WFuvnG05Zmz9YT7yZZQXFIDaIWBx1jtp73x8gVZy7NtWlihxpS1+M21dRB
cm9rEcvLLe9qrbNzP3aT6iDLJX3yUim3bWU152UZwrzU9eFhsRzvVhSFFTgI279oGhzqEYAIxzkz
Ptipk30BuJ/gEnNgQ2nHsZp/JFphNL4wW3fbz23yCGC72BQYMs8LLYnxHXTltmPOiqiRggHqdI33
wTd74nV9d2DIlTpWs4kG9zuZInrQ2nlEvIbOVml26MTBi15EXdgRfYJRtki61B9oId84pQnqHGg2
j6fpPuQQg3eiMklOKR71Lo8Dtwe+ayXXLmkCvtniFMBbkfqqZPbba2Bbw3E2jq1DACiw2fYbVWmM
AJHD+HrKBKFcKOe7l95UVrlFn/XGgH084M69cJx6uW4rpw+EOb0KOXIxywwvqWYfdW95VFAPtlFV
12iPBSwZS2CES2L3Qausg4z1u3jQuvsicehflG52P1hVd6BRoH8rncbe2LhK/i93Z9YcuZFl6b8y
Nu+QOXbAbLofEIidwX3J5AuMucGx7+uvnw8pqcSMpJKjbquHnqqyKlNJSRAIhPv1e8/5zs4Fdr1X
SjM9ZDFA5I6MB1IkNBiGybAvp3H+aFs4XrV8cqh+p+zGghm4AjaGdUvY3WocK/sOuHB7ChLKxa3m
4E8TVnxMckAg3jjK+NYOWThgQCIJMdToJirn1jeHfiSoo+h3/6hLhQaNqSDQpO9eeKGfjweFLkVU
ZLLesWf42Nu2A4wMLyvzdSba6Z2j4E9ayfOrLSfFVyfBLMrN1qq4GnDGK9jbsn0qJBVatdHkM+rB
Hthhrqsf4dP8+jZ/UiqeX/msNxuGUL3TZS4lG2v6FgcdqBfkKM9DYYaDb1uuuoIePIHSFqtGEnAg
pO1PkOBYm7H1NZWyTgAMUYCGDn6sNIPaSZ5KC0rnndbrWd/wj0/EpXBmgs9Y5qy1VnPswpYY1ruo
gT9joANhwWewnqKKMgfqtF8/maW//qpv+P1yqO8YJGqIYJjP/PiRDJWCpYPFBiTkvOODUOW8mUiZ
/GrgKWLSrhfvdSrfukFGNQj+YFo74nwgVHWZrZe2Vu1qzbriK5at0LDuXPK4fSNz3hkv/KQ7WT74
11c7U2GUXWKWQ6gzfrKBwCMuZ1lcXjjVNeEkhyv6vlPr3I/VO/3Y7w3Xnx6szgwPrRlyBevswWK7
qMxW0GUEfqMiJrJ7hzjpQWLGVnUw7XF+bGZrIMBJj6QXh+20C4UZGSsrTB7TOXYv5o7p/TqCaXRI
ozsVUVQFAGYQ9Q2eMdboCoV10V+pRLJVYXlbZGw5wUWNfPvJajSb16Y2dnXlUAuXdS3XGj29HWTC
9mIgmYLSTpJ+5MSTBwXe2AoBGkohHALIR8SBF0/6Qy1KBxdGSr6TiMLF3aYq+abvKwKqNfOzmbTl
Zd+rDcjX4J3n95N07vsHR6feZZRi26hDf3wxMe6WGt7aJRh9o3OL8bixC/vEklH3yi2fVwJ9IgN4
IDn35e9OWc766cv3gn9bKLrpjGBsOWvfw/1184z4MXyAEZx0mNKYKVRjLQbVfucr+NatIg7EEoJE
A7GgfvaVL7UgcoHqkoXX96Q4wkefTy4MubWshw+ZGPKV3WFNj0eg67YjRq+ESetbhCX6sSWbd7aE
N1aEH36bs2+MoFsXkr9HTIQJCAhEUDev0unJDSKskumKapdovvKdreHNx434AEE000AEnz9+2rRH
aKQ5XDSwIwpHnVgHM6g0/JN8df/xiociSwV+ghyCuKEzycCEjr1eJtIoYkX1ZZb0srNqnLaxNAU4
fdWbC8dYCS00t8zFtXeufjbv/P5eIbxbZGGC/5y/VwMWKuyYYbujoRV75WyvhcLx4te3uHxEZ2uP
pVvo3h1GyGwhZ09TAc4p3cquFnD/kwtMjOLNgbADnU4SydFbUEsZmbxDcnhre+e7irhd8MVBg3K2
yY605hlzOaAhHXkRZ0Aalrl1XRH7ZdikDfdYMjnI4WQko4e7J9HtvdHUcmc/3TlDN2v5DVB2nv0K
qug1LdRdtjPMp9CTaAfCSr12OEPSuAkp8Si4fv2w375ttDO2ARlS2OfCEMZWddg6AXPfzsrW4dw3
xwAKxi5YXJ2ZpQ3+UNsE+bEG+3WqyH2NzMPTo/C9qe2bCwnqZsT0ps52ft5pr1zw8nFEfRVIcuCc
Rv9mzgMl3RLUolyrIl3k7px+DTzEcq5BeAmGOhye39l133r/ENwA/GFIzSZ/tnazGmualbF295iR
2oh2WCqPiWE8Yfk3/LJTj2Xf3v/6Y3ijrLBeXdM903dmkROIgPiGHay0FacTRKyjF+niclb2v77S
m3eHchapE/Ir57xCUygIZ2lwJRisj5CtLly7hGvl3E9IJvKqX5Mo9o7Q8q3X2rKo/OBGuai3zl7r
fkArbunInCoVHyMcd7FTnSj7AFeFoyNbPmSWIfj46/v8yTiy7IE2hRC2BURlSIXPFmUpWlXGLR+j
ogPPSJr6g+UU3Wep9e0euIHNoK8Zn8iU0NZ6X3X+TOKfL1XKnS6PbK/W+s82EKMjmsvgU9vaFoko
eXj69a/51opqU72S4gTmxziXgIXtKAK77Otd3JOxRNT6R3KS3qlG3tqe2Jw4XSJ1Ba999kLrga0z
G0jrXV2L9VSY7j6qZsObdbV8ZzX5fuI6X8EwVKHwo2qEsnx2qcya61Fvm3o3CPEtl0t7Hj6PPxmG
ggOvzGkckrStyzJdEfGXr2IFnWvt3LRKG+9m0y4OJm13Euo06DFzEHtBVJReELY6kWNJ+CHEo/Il
wKD6jvrlje8fJgcdYa4J286yz14WI+xcd6rnekcO6L7L80+WwFU5AFMd53c2mvcutbwRr46RE13c
UgjBYS6uECj1V0QEsJuELSknrHn/+PXivmyxAKF1Uxhn5QK5uB3nI41vu1UwtJmiBSeSmte/vsqb
t4TFADa7xhTrfMfWOSvEMaX9Tsw9lk8QsjbyhZxg7QArzzvlwRtv87I7/+tiywL36vlBTqmLzOBi
kSigi/f5rUs0ZaoazTuUtjdWyh8udPYu04HHganzTmRVs15WyTw315ba1H4sZ+FVpOFSAr33Ji4/
9ewbhMCHelpf/psj2I+312luZCKXrHddPT0F8FTAZ3bbboJ8gkS2we0z3y/rlutE4p0n+8ZaRBXg
aBSYlHjMvH+8dNRUuis7q9nZWp1f5VbY3aMl+S8Uyz9c5ez9twaXgA/ucBdDTsUmhsmNzI3rIuze
2Xbeuh3azMuRhMm9en6G7cy2zXSQSjsnwTuGkvCpz/R/vnxjnbU437PdoLA9e0cYJzl9J2u+zCBx
K8kQToxG9c7n8taLSPMRBx7VkYC++ePnkiIXmiyLVyKtUmvF6wFcT883uXhs61LfFBy0sPvg9/n1
t/rNy9rOook2Fv312ZuYGqUxdCr31nDcKDX1Loyj7Rjnqzav1mEN3jZy/V9f8q2PbPmwLJzknCjP
30BnroRooPLsJpvhdG6TJiaV9x7nexdZ/v6rBSSBxwvVjC03Q2K2iavps5w69Z3P7Lte8vx7/F2p
R1/S1X7aUbDoOXDS1ZpclRScNScOCgm1vQwb1X5Ku865qw0kkGoCWM5rmly56+TgPnbtM6XJqSDW
6y52iV1adXUG3XISwS2qdK8pyMLzEaV9Mfj1Dwb2ea+O5ZXZntJAGJ7RD0vfjaaMTeMDWpIRWKcZ
nv2FFEn40BZ3acxwNtEd+n+Rc0ur/gt24hao1lSuajsjWTVXP8LW7tdhU/TrgsO0zzQ+Ru1gnijQ
s1Oq993atNvgujOahliiotsEDkktgUvILiqPgEH5r1+Mt1qg2L6FicuWrhtE3R8/tDQzBpGUSrtz
CODzlbCTT9xk+OIGtnHZtMuERctTVfMR1Bd+EYy6T40S+5VVBcDwgF+VOdjgWCvgYvaL2j4K7dMY
ukB3Qxgkv/5139ij+G0NwaEUfSGb4o+/rWxia5S27HYQX3zoHDXBkSzXiDN+v9C/wY3yt56V5Vqf
i3Kqo1C2zX9+z5wJvxb+S/vyw18wCIva6ab7CsnmK6TJ9j//D3/yj3/y//Vv/mEN4TDx9T/+999b
TSjdWVEXxfffe03uplR+bX8wm/z1x/5wm2i/4XbQcLABm+PoYfADf3ebuOI3lyMBh03bsk0WOe0v
t4n5Gy6775xjskG+C23/NJsYhM0AbBACTQ0JFpjT/nwG179/9Xl8vz+TP/76tVnidxHtj0sE/WPS
W5B0s0+h4fjxLWkqjF/xFM+7cZ6qi2jM4odeiukYmchtUReA/gQHv5GoFFYMpoOnLIBJZqEOeSBz
unuyBiSTHd0nL6SbhkOX+1nHLU4PwFCh9JMsdlYykKQEjHqx6RUkLkrSAroR+o0rYlQ69mDD0VW1
ykPWtQus+fMMr5LZDa3TK2MxB1iFE90kkzt7c83crgon/QqPyoF0LH1VjEaCssN2fTMzxhtznN1L
ZcJcYo0dkqF81MAlDUx/lSgmAJ0jdwjiUqkumqLs10GnBB/FjEoyhGDfelEeDeskTpAJRX32KJCM
bUfpPoyCGICRP7zL3YwfQPlzF1rNI0LOicXPcLYpuWe3WE/ILRdxgO6oLU99npC0lcf3CJcmBLRK
tDNitUefaNRXeaSWG1Bmwz4grHetMg+80kxC+kyLdPNQaEzBEw1+XqaoQO6qojrVeS4vkiwwNqOY
7T2xbyVjF5Sl9PqIzzMHHGkb6JDuxQi276LjAFTgqbs3S2L4vFbteg+sqboC4LiE3oRjiDHYGeCC
VdaeaVq/jbLog8u8fhMiatzMdv1iKW58h3qmITaQcWibg5lXnS7ywpDAZtWxVKBoc8cnbxY0jEx9
baNDtUV6EAUNGlo16Z5dGoCmAoulMwaoiFl5GUVLBpmORqVysy2NHsKMSBHdaMwiXliogvUglfqy
TBT9xSHB7tqtGaflLb3qkVTSK4J51BXyR34kBPuh6KsDrsXr2hmCTRJV8bNtiu6DNWTjqch79JF1
tDd7eaxmiTwjZELDID3ZuPp4Y9jTcw3dEuHMMjckrtS3OIwDt9O6dQa78sIyoG6Maa9s1MyCsj9P
5Wau+9pejTQ5noOO99vS1ORKAx+7MIN2Fbb0fdgWgYfWvPQ1aTXPNIU7qAWNiOp1q/fuItEfbpIY
KYlc3I6WmV2Ebfh5apSPbYOsqGqnrwEZ720dlLftEOirCSbvR5zp41aHwbqVMqqRDJj1FuoXAYtu
3INd6xBHEq8MUVCRX+BJ1vzWCynA5fuIujxdV0EeHOIkGNcz2Eev7BrV15uapLzZqq6lNrI7K3Vd
rlSG8bcwnuK1VY6d3/G7Bihgg/4jGDuCMyKj3S/gJ342WL4ANtEXhHvRPiUJ/XGu9QbZ7RD3aK4Z
rSs06I+lUUf3eZarCYIQJdrS4KXbWY6Oz4uRoskEvKhRAuzz0iJsMdTqjjBC/mkaNQEqMHX25WSi
WotJT/Lo9jSrcgraTUYE+CmoejXxnWTMkX8XYeZFeKIPCgH1GEVb+c3MNHAdRq6vR534mKqaGFEC
31oBBtQWUVrobEjSbI4dAuUYL0Vq0uAr6n0p52jTVPYGOCkIZK2rDxZmVE9XtfkQwQQ9kHulH0Ky
df16sLJblSDS3q3v6iSxtvE0XIrSSG5GlCRbq3OhK7V9uAEkkDGEqA3PdXOyrKNqBz3jo60aC5uw
1T655ZL3DM7rJnbtNS81Z4hwNAtPTa3HwFxYWrlza4X9tJsg4K2SPryQenyaneKqyssHIBF7NR9c
Hyop4SYuuPiRvPDHCh6VPwOBQ75ZVJsWHelBrytjq2NH9qLaCQ+uhfYCaOpns+ymbJMppcp0O86O
gqrymrzC6mSlfXfpQNnfWS7MA2T9Axo2JRtXXaUr61zLSy8N0RwVlZIeLbvnUMIsuNjXUh3vYAYM
26lBR9V3dX3Zw/oZutlrxNiyaGtPRHjGT05Wz1tkE+EVWTHarZJX1r/PS/s/qnqhNsAoy27+98XL
EQhi/vJD8fKvP/V77YIfFjssRYNAeq474CX+rF0c5zeTkSJVCGULleefUXjGbyrFDh1PMAE0D1zO
c38WLupvlsmhnr+FT9YxaNCcFSq/KlzO2rlcwqKs1cgxW0onNLE/li0kV1d2qgJ+T9VQu00dhyXQ
IJVC8dwpTewtcSN8a1tEoOtXj+iNiumtC9OkY9LPzdCnWP7+q4OblbuRowxdvhPqogisUiKPVoh/
ZXc5dOa8xzxinYivHt5pJJy1t77fMMOARWVCK/knC4DizvQGHTJOiI3It32SBAdz0M0dRZV5lHmh
fPr1fdI54E5eVYYGZCfB1fgfiJlUmmd3CoYMU42DqL1XFesr3Qc94AQ49iehZRztGkatpxGi8Qvh
VnWwIhEhY9lCx7rVyKh+afVg+JymlDyeOsX1RY4E9q7UQ+MQVdF0WxuJOxKmjKbTU/G5gKgmiNqP
WbY2ejQgMWgUp8DM1CnGi5vKiA6sKQIyaachXLdZ5/hOXJRfh6yD4C2WH2a2AZo3qyfelBzxOLrM
q9HczaU59144z7JEtZe6Fy5ZMcE6cyaAj0nCI8wUCeXASSNZEQmEMRAzqjXe9iJzt+TkDR+sqmu+
MMUYb5NRuI8xRt9dGE88BCjWmIlAE3LYbHS93+bkC+zdsWSTHqOy8XQ0fdXadR2Ss3o4YDeYk7vr
tCjyfE1DuTtoDJC+2SKb1tloNV/akAdqpzHamT5U+5MaFPWOVmO/VTJGY24W2C1p3oG+Bx2RDSSz
uw6TqMkdryNh1v2hrMsyWWdT5eiLjJXnWCaYyqaBzZ7M4lTC7IbM0iizs0HexnSRGlq5ackkvV80
E+DEqH6BpSqB8TI2tAzIIWrcra3kBMKQNnt0zcwKV/ryKDU58mwRs6aPCWHjsWcGffpYVSoDi2Is
jmJq42cTROFMhI5afiRCQaYXQzHwNJyATcoBHdnv1LJLyaB3eVUQW3NX+oCYFg3aXOxVvctuhkqV
Hxu2UsIGDDU/OOZIMDEvyFUT2HLy6Y3xCVaCwKF4bvj4hyYR+q3WlfjAdEr9CDyXtrKrSL0k9pjI
NlxEyfXAEPCQt9CjNqMNyUp12dlXTtbDr65ivC1qw/nLl6ljXKowluNV2bW8pOTR9eT9tG4KiDLg
5OJxwGgf4nrQnrA51M02SPUgRgcK8deD00wGMAlLRMaTbxu721CVxmGGRkvI9lyKT70bpCu8faI8
9FCbEWJ3yyNubIhTniKdDt1LhrLFd8OajwZ9cWCvldItrrq+zT4k5uTcJkbtboMBAW+ZhnKtqG4G
Gl+k3Q0RB1p07NIy2iatkZP5lqnZNzBk/bYzHJ4e9Ar2ZIejBbJohrAlYvBtGSW82b1sy4+a7MqN
E/GhRkkbXWa0hdJlVtA+jErJN46BXXaDDYvXvQYUz8lJjeSL2+lY0jJXXtqMtY9aMJSbwWHmp3QB
IF+7Jq63K7X4Wan69kGdevWSho97Fcg6RSoo5fi5J+Nnb1thTmCdLT5h6CYuC8iaYvlao5tHG2XS
gQKx+dzz9uEpKnhVwmC8tYoqIxOjMvmiB/oE8HKebd6lNM0Drx3TaNwWoRyw4BVK3PlERAR3Tjva
9aoHp3oZw/QhlBuS+NDON6IklBD3rqHdB2UOml+ZFSowc1Qe4Kwon213yC7ahageKp1xWYUqjzTk
W4fBDzAzzcv6SX4ns9NWD2+kCtchIV9qzchlWvdkjuDc68D+EvW2xb0L5jVrPszLlrySlWZBR+5A
qxIHo60jKyjWfVw9MGiRF22nmPd42OZHfKGuxBKmu7dNY2PzSe1p5NMoeosvWnBwpLHtiIqlDK7K
C7xuX/Hapbc4HAYcG9O07cn2wFSDTYiKC1NhYE+PlR2aVzl0mrXV1v2Xoap1gi8QOjqp/alq8Nox
1dOwhoWh4QWlkGvRlMGVnozali51vA+x/+/ww+QYTSW6+JwitxRVfMTwaz1PeWayW6svhLcTuTHr
NsrFwL6OTfVD1ev3sm7rj4DaJATR4g4pS38oYvOrFknFVysB6TlF1gmuFpl+1pcR+D+QBVulTycY
m3aqb3tahht7GggJaHktHC/Pp6tAab8FVaOeRjw8fmqaBcTuqnxIZsdXO7e9McWg+zFJtBwXw5cg
k9k2kqVxCCT52p7eITML2lGCiU3LnanpOHMiB2qcrl3atUFESzDD+JpDnbOeLaqMPAelX08lvQcY
2NGhNJnnrZkKK/1Kycv2wa40Nd5guJ02BahrEPd1q3kkYNWnFiDdtaNxFnV7p3tsoSnsrEg1+Ajr
dIs7apHC44A6KYleHQYw4VsnjcWXrh3DcmUWeeQgba9ZLMlPIzjUwNFSqGkG0jTUwpFL2Q0R7kWQ
rLq5tD83Sez6zZSavadPFQCzNliSjfrvgUURx12h9vJqanoUzZEgx5xOvIEof4PPpDshhWaqPlkV
/AjyDJpcH9cw8m9GWz0tjWgPDglGSRM5qImnkC+oEW8Vxwl9duujZSwtCiu7UgOh7nslRNWfaCEQ
NXs8ug0A7cE2FHT78kQz4kH0xAsQY4oEI+giZV2wwz05M/BMxdABs7tOtSGlavQ5ZXLGUBwLO1NE
yp6pEObhlririwgpj2qF+qmD8/4hR1iEAD4xE5rhqR18KcMFZBwYz25ZZuvBzXHVEHxL0H2S7gk3
OoYFNOQUBGw2ZCsCTaAfBnkMI0m/i6ruwWbCdM9rnuCObvDnV2iyRrWIH82p/JbaQv/AyVDuq478
uTRI61ucERHi/xqHT2qYn4omcS/ycsru1Doj6VX0D9A2yf4pO3ulRUSJt24lOL+zox/aeGzYi23m
ISaWy1MSxsFWJAUke6XoP8iKvc4tXA76rVn6lqOEByfi1AZjPFrrgsqyKG13V9jD4IXF5HIoHdJu
bZEW8iCl477YTqEdQ5myhdJ2Plax/Rg5M56MAUV5XThVu+omqre5G+MrRuyqrwJCOmbRGJ2wKu0J
WUQU6XQwMIpE9cywBogrdbkfsRreMsEKWdtFV3hJMxOWphn2ekZfuQ3REANDJXamaLTyBsnToHhx
oQ4L4a+ENa930QtK/k8DJlrM77B88yQaTqaVDT4TgRB3HtpDZSCJGPOEYu+Ib7V3gI9HA/p9Fj+T
F+/sO1K/vRo8/wqX2bgnT159VBVhbRLSH5ZUrJHYtTaqGmrE2sWTGg3PdTBau5i8ho0q3HHN9CJ9
moulu98M/Ozcjp/0oqCeAda/L8dg01F2XATYJUzPVCpempFJQrEYcGuLdhzEfATSdf+i2/lEWHKf
9qEv1C47iQo5qhMq7mdhTMTYVRKwyES7AVPPPFw1iZY/4lMfdmmQl/exGiZXapRPxBMRIrqu2OyP
NM1ETMG4VDB93+jNDgWYKriKRgmpW6NzkmjwLyaBDw5IsTCPVVu5V9Sm2lPfUMl7AZFJitdR4bTe
xFQswSwWJs+Gm7J1xnVRX8z2oF66bag9ERs03ko9ACyqCCU/2MoYPxe9y89CFnqlEGGT+HPlJI9R
KvrSd1y6ZmGW9ydMRJSSpVZSvLpFFz9X2uzcquVgPsTw7VCPj61heTRF/xC5/xsmGf9/crU4Rf99
u+D2JW7ki4zeaBjw5/7VMHDwotkGcFC0k0zKXjUMBKI6ZC1I5bVl2vFX04Bhh03umUuWHnJlpi5/
NQ303xDTLCwnxrF4iEnw+gdNA/O7ePH1mZZjrMvxGZkbuCukKExcXp/eY60vzFJYIAzxX9Nupo6M
JU6w9oOl2JdJhh1vdmAZs/peoG6OPE1m30Ksusx2ms1ktBvEWCpmXrr5dhTR98xKulj6LPfoiVZG
E1x0CuPHLO/u+0Qw62OGUMnpM43fw5RhSAlqtfLLgq4mdcq3VBS7pKRTi+cehdrIiKXaGr2V+oFN
uPQ9CL0PUiGpvgewYo0fR7v9RprHfRSf7KFd14pyqCvtsgU3oXbddYV49IBl11xpYZyt+6YxVm6s
TzRCWxHu88TI8OE1rV57haZFgQ+qM71BczoZXjtpBimaNrbVQCFhi1i5TZel9oExbWf6sCVovbVR
nd8E09Dfu24wfxGBqn5hPizvQOFZCXSPpHwUZtb5uPqz9aw1LOwzA1HmpuIavAYAPYkVbTNzwtkC
nRgvSXqvj4alhdf2qEq/m/toLfBBb/moVL+utRsEJxdukl4krFiiurSMDEv3pGMDaxmymBSR1NUO
fruiAzPvmkglx42ox0dICEguNPXCaNybQkybwLT2QV+vxvAhM5xPACU9M5bXofIlmu6NONg7kbUq
KPcwZ6rGVUQcfdyW2zkiJrgerkSekMw0PqnJMpGaLgz1qY7yexF+DWt3TUfbR5h024Vfq0KuA/cx
UKAFOEh1Qpvmaw4lp3sUkXWUrbKbjS+20VOWUCmODRwHHIGdvulwoEYYaOLZ2NpDHfihvMtD2PUY
kQttnQj5IR+UfesGpWdP2XVn6ay780MNwG01dLuy6Uq/C+vHjNH4AQnhFmPnSlXZDKZjMquMoNpv
RqPf6KQsjTfNUK8Uk9MWVXhMzRnZ46ZU1G2mape1Eq4RZGBD7R4dRZ7osSkrdoXl+AroAn5xsXfM
mBFCgoVCjsmhAnPijeF4SprAs2dF81pOgjt4+pf66FyOTqOQyVJ9Tjka+o0+aOtGNnultT+ry5cr
5XxrfqXl9kXVviUKuWmK0+xkZG9TfhU6+wcGGzFdgdgbJMANQWfGaVXmcfVFFuh3bqmcJl0F35OC
w2EeuKIVt44ych/JjFuJtH8O4ggkHCk+oRpnHj/6ih018CllCq9NnWzbuw6vhzITatlgW/AQW+Lo
M5s2+Cpq7OmI9yxKOCf+BOygX82jTgHb8uKhILXZWxvdw8PtrNHusr5IOR0mZ55WQWDIbcBTXYnO
1G/LIaVnpSGEJIsPoUAFhVPRp/ZbbjTpaqKFdDTgnF6paWLyjWhKuBfS2cmpLL6lGNs5SHR6Clem
C45aVDLB0RiTrmMjU9fh4LYbNBvRyaI0XEdupazcuUq21MjypJepu8eXnQD9sSBQZMTuyVKt7wY9
6PnM2vFyRGHs9ViNfZGFw7rMlHpTNA1drURj7y3BFvm1pFnsOdb8YBMUTC/PDK55PK1vYT//mIpI
bsFrDZw1Mq079VMi1ykDilWahenK1Ot+nTPi8XT6iJsFyL12zYQ4qiGb/TQNIl9PZHXqRPMV1IJY
650liGBQqLL4DVdMFpekKs7BzTDsc2fQLlHYNuRd1EER4m7FUBZie3kWdC/XcVdiSetsEvh0ZZ8a
2kd9zOuNWw7BcwFUiAeBnik2Yvc+UBTzRcRTd7JEZt3UoWWsyU0s+S84M8Qa0VcD/r63cktbAVcx
QfKr+hWwgAtNB32q58a0tgMlu9fB0u/d2JhPthmzgjWiuyk0IQnRs2uU62UUkban6tmmLUrzWwht
1suMFmVf7Da+TgwN/Tdc3I1+adKW8Kua0adjgDzv4Lr7iVEhyRFFdasG5nR09M6+ULQh9jkuPvSk
Tq+FOii+7CGQjqK6aGmIs5Gpa6ULyewz5TGqOf2kFoeWSg3JD2m9oDu0leocM2f2O9mmq0yxV0Pm
YxAWK9KnOp557j7TVSLuLNS/ApzTD5brZis1gf+uj326NkpRsHGp2UrPivIuDjmrYPYhME8PzF05
47zu2gaTPhZC9oVWv61spH1Gb4oTeXY6qKfqBlnEqq5Bx6ahi9KQPD5Y3xNecKWlKzmFD8VsKfjk
Ic7kDe7SDjASR2e6v7O6k50LkcEh4znBrqqo2hOpdNwqp3aczYncViNhea7ZfW0T1hF6OF7BzrBj
ASDNA5ASU9Sr2MXbbnHq9J1olnCUIiRPVZ+eSvIgDh3Qp50+ah9b9xIycLmGhSKhNpTPRTBkp7K3
b2lz+UZbXHCYLtacWUKvsm1l00pHfZrHlBzxJDDmz6nVmQP5ujIQPsyvKtokmsRgHmbJNpMGNfmg
FBtSKxvTI07HNtdDRQFMCHdgcb8B4dUrDP/mhZzn6ZiHZRPux8LJDwj5eSB2m/P/BgmJQC2j6UPH
8Z+GtUCugP3WJ1Q695Ief0drGZQSfZVeulWlexXf5HVTadVnNQg5kpuRpSWcElqgYnhdG7/DUwuU
p6BqB24w93duBaN5ikkwhsaTXHVunq60WSs3dtvpyB4Gois0jL4HxGa5j6FovpORk5O+axkKE1Zg
Y+a2hBTyDC64vnaqHqRF1NoM80O79HKTNaDEjVeO6bVqld1lzHr/xSnBRshcLEpymnYa1uHP7giT
cIiG8qLNpblr3B6ltjMTndQT7EqOxtjiqs7Y5cyAXpR8yZKT3ahXU8EmS451qdlXDnCkqhaIWjha
F6V2RS1rXkVVeFQSe1wlpnEph6HxSmzvtJwYUlsoKEZD+RhO/MVoV+0u6hLDH6roekYZ4UHuTm/i
uCK7iHfs2UmtG2nVlxbBn36bSWUF8RV8GZl3u6xgJB3TZPFflepvjK2WediPhS9JAkSMUJ3jxPs+
yHtd+IboAeqxHIBEBsktuQP3c5gdcvc9lzDl/U+XwTZkqYZqw5R1z2ZGfaJYQz3iTC20+UtU64de
tx7/+Z0ggMJQDBHrZz5uTvBxqlhTtWsCsY1VzvRVNV+j1/uHGmEmbsD5Xl3oTBk1FMWs5AHISxok
H2M1vVxAlBxgV/+9+zl7ZK1CtptDi5k+giZQ19j7GhqTkYLW+PWF3vpsvhNe8VjxyZw7YEINpgpS
cSxtiBCPU9iqF31DU/T7Vf4NR+j/SeN0m8A6tF2L4ZqgPx1MKcfXXx2VWW27+n/5UR81UZG/PjK/
+aP+Oj0vZ2bGvIyXWVY4nv4BpnZ+Ew5WdkztoOIJ0ePD/XPkbv1m6Zy3yUDQCOhhe/zr9Gz+xuwW
EzzzRRUfjGH+k9PzT+/Pz0/g9RKiFZOiqQHBq4GlESCNLQ1u1qun9MYq9eYlmOkjNsDZ+ZP0Wp9g
Q1n9iJqld0lE0m5kYn399SV+mqMvd/HqEsuv8Gp+b+cZC9SIYCbE6V1E7pdIg2Fly8KzrX+86HKt
5bNCe21zhF3emdfXUp1Wi13dgFJfJg9NkR51dui0GHa/viXzLIfj+7u5yE6FqvEvRvY/XqfjZDFQ
8Y07nfnkUQ2SoymzF7vrSC8js1n0KqFWBUe9pL61uvFexuqqC4wtc5sj+saXLtVONHcn0jLkzTQo
29COvpL0BFtUIYFaqBcjYcuNw3G2raNrqYy3XdOP5IlTgTh2c1AG5ZQvKUxDxFA8qXvVV/R538f2
c+m6H6LePY45giq3jwsfXQGMF2sPbv9SsD/gFgZAZrp65U//l7Pz2JEcybbtFxGgFlOnax1aTIiI
jAxq0oxG/fV3eeMNuqLzdeLeSaPQBZR7OGlmx87Ze23HQJIUGA8N6q9VNUbv7PT1+i8/188zirVi
krmFeoSuDRbff/5aAXCjyp+ccUvthJuBiwN3mOOU/Z3b+KcPgnJOaIaOoeWnDy2wZjG10h+34Fce
nJjs2SAKPv3SfGWiCn/nb8aFP7zaRCPRswWwTpPrpwl+cPgTZi0at0w4V1YlF/UtlrcolgUD1//+
G/5hoQa05HinsXOhaf7xZvMmgL7sxIRPmWhn0TM2+F+fizwmhDY2sGGcwf/hwJ5NBmKz5CP8waLr
5iwYaCwYz/7FCfevbKx/VEa3z2FtGhz3WCT8H6+DngSR1Ep93AoKPqwN8iJGsYn1mzBZp7ogGevb
CZJlSsog73cWdv7YEwUifiu9vIJWPLhDscbZ9v9O0v+vNvunF/m2rP/xzX4UIHUD35nfn/cnCPaq
QcDftOphdCTZxy1NBYc4WeZau9jAsTimO5vb7YJT4y8WnD89a04Rzh/b4Jz5aUs0e7OhPVlO29kV
m8YxHiBA/a9B1vypNhR16i08UrRn/7kmQVjqRtF003ZUm0K/a7xLUvnrpvX+svb/9LdAJ/iXyxXh
2M+H3flGB7SUJQlXCy22r73+93Vx+54/XybbwUPLOrSx0/5YF8lQzQ1622lLlPF6RGyjRdF5Grzd
f/+YP630f/+YH23syK5mPxk4igv7V+COpMRKtBQM0WN79d8/6U9nC/ZlMAD8SbTOf1b0BrNDZdg8
fVtPTjAmoASXzhlt1G1H3/om7bEUHgqOvd0gxzuaTF+81GoB+Yp5r42vwGgO/mR9wEm6b2TL6Ndx
OuIk02ppy+a3T+ZwYvbdIpDTt9KNZBGo/hj4w2vnx9fUtN7l3G/Q2j5Jg2Q6hgV0frshgZZMYyaP
76BIpQuaJN0KvuiJJPZPOSUH128/kzJYF7G28xknhYpv7iXDmqDNeMEof2lpf9sU//RUcNqglkSi
rlOt/fMlLvQub7Kap4Kc67dTtbtWMRYT4wjwUPxlUf5EJrA54Nh2/7UmoeOw5f/zwxwVEOWTRfM2
69we5h8aF+Eg02qMbTyqdZynLzj2wD7XxkeLn9gejOpv78Z/vOx8BfrnZMD6NpfKH5ZAZ+rssvZj
fcsU8dATvUVA6qZwvb/s0P+5pv7xMf8KP/y3iu3/+jG3IumfS5fMFWA1JKA4NuHRP55enNQug8eU
p+e1C6HutHbnlGpRqPUonv+yqP7wUY5jURWat//5+aJg+zBq/MozUo7uV5UjC0vljUsT/K93Oy7h
PrLdm4yTu/+PP8mQdACxxMzbAIFNbhoLltT/5SNuPAUQFQDtf9Y4Q9babETzTH5V85VLncjnv1lo
b6/RzwcDgsrDAMo2hJGRf/9vz9+Lh2bKkdltzcg8pYPzFfcIGqPZvwxl/WqTZF6z4YdRXYi/VDl/
XGQ3I77BycQP+RNa0CZ5U9lEmm4B6pMUHRirzKj7MChsouxRnNmgKleFZuz9IvmSNiHXuu1///eX
5T+PLD7/FizEzPIPJJoykwG49Fpn9mVekp4xS2X/rdVB/4db4j9/5X/lTfIyEgGEWflnd8BEeCk0
2++2PiESjlUvpbM2jN+qQS9DREA3bMdq7U9bzTq64P8KRK3GfaRzb2iWvvaiTx9p+TsjPaDZDNWd
dkXBbxKeG39KQHhwMqNHI04Awy51c7wUo73uon7Tmy91tmsnd28ROh98BOn0UHTVwaoAD/ZFl65S
eybBU0XIbVCzBO7SNblyWN2lwv1it/SWS8OC1dl8yVsobfSifyf5tBR9HuqEoMxQ6WiUHzyjJ7fa
XhHsuJmMYjnALC6dlKWNu3fYNGO7TLrfMkekWwaKUUcpOFArn/mwR78ESdTW0KhCu01k0pC0P/Wb
aEkJEubTUAEQrsaJ6j5EorgU2pOi5dvY+kHcNC0aX9Kp9G0i+nVA0zmvtUVym8AO/nKU1dUzW0Cn
zt1glkc5fGi5Hvr80crcsL2vK5SU8T1CnDnJX6PWvEfrjeIJ5F9t94gk/G2Z48dyE1zKJ7f+Soud
il59mTG20kc+EIOOpu86rLRQwBdExIQyg2LpIkyro35bNNB+B5fzPcr2ulGSckxMkmLWVdJZ7e18
ozdorxta2nj+eiYlZNkSfelZ66T2HlB6rHlFQ4ugcsqHp7wCvza3UF1hVzgjvh22ph2tZ64J/Qua
xTrNQ2kQ/bb3gpMPLd3pGbaJS4IHGU3QWYr7If5WUdJzj1Qr5qz7SSHdbvxk0xJQPcZcM0UuEJWk
j3lqHYNkBiu9KpmQ6EzSW6C7Yqn36m2MO8Ty/VNi2zuneAxye42z+AhOZYOfeNkCqayiR8w2YR7P
IQOpTS6OGQBxG8xBMdz8bcmiHhmAPmi3IWpbX8DZbAP41igZr32HpmiWJjCmR/bHTzx3QC6WpuNc
8G7hPMI+pfp61SK7ndKLhVxgMdHaUP58dus5HE0IT7iBUwH61QLLCqgwHAcGTTF6sWkdRy0vuFzh
uVrIGuwshmwRLx3/UTENNSmj3uIaDv9vCRlzcE/QSUTFXA+FHDzClapDuztVzj6KadhzUeAs69Ha
W/Jz6u668r7Utn68TZ2FiA9WfYkna2VAwnc+4vRkilB+MILYkYzQi73kF0MCa9gf00gPHydl7S8T
dSCmbKF+N9K4gWYXAG7q6dHNPQIDMZx9KP8xvkV4QMTWEmI7RqJSYbRb16r6wFEQmubF7qKFGGOc
SUt0DzG63zwS56YT/DrIMod+oZvYCxgvYWmLK+IjSryLzpFONibDCWeXvg3IHM5Gb215851TPZrl
96h3W83bVQz+zxlJLg3MqIZBfIT8WrmbNAbs241iPrdGPi+hvBNTj/CKieUHJP9TH0fB1hMWtZPC
QoZXajk45pNqk1u3vq4uXiVWWOQeO4dcGEKoDx6isFnv660k/GIpmN+sbGaPTH2MHEkn17MUzthq
7lL53g3eHnx+sWgHDQ0T8r+eXsrCd/x5T0/wPiuyeE1PKYGQTCJxzK1PBTrybYdvyN1pxX8Tc70T
fRlOi0mCtskOXipZRqk3h1pmrhCido/K1d6Ipw19+9qk6jAb1XtmmqvEn+ezmhEyiL7rlqIhYB3s
Kmxwha3PM0IdF+HUE5zmyephxrYRl3NL2nUzhVrc9kczT7XFWFzcygz7Fp5nWZZo0St94fXVFuic
sy1a4YZuaiYh8y8UrMlad6Pn2LpjVnzXZfk508bQkfyq8OGDAGK+N711UzIuZhPk0ZSl2nIieABt
3LgYeK31uPeXNAlefF18jIYWDpXRrglGHin57XvzNpjPW3PHnWGE959kXAcQC6IaPswTKKu6pXd1
k4/i2VhAObhGZf7utMYdonLOcIeBrEJQ00TdLotZwiplXtWl/lKOpNNVlvsWxM6pENPVHa03vf/V
Ouk1k/I5N73D0BSHwOuthSllz47X/3KyRjBEM57QEHOeKAfl9BvpL+9WwsP0o5qtfQ4FO34u9MPY
2488um+wHU+0B78wZDs8eu1Qa/PGEsOpJF9Xq5uLYN5seuoeENu6MGSYJPNnqRxMLdXMtoW7oeuJ
8YQ5oFuCXwGZUYErJHbLV2OSJkfTuChZA1NQHP28340Mcm2v22EZyEMvkodBOm9dKxIO4mrvdPMX
NuMnq+PrTcHjRHUcuqX1KL1oX/cg/uvxrs7c0MuS7yRzYaZr5qfQSTaozOvkA8wwxojRCVptg3dq
DCrrWAeaFnq31Ijcux21iRutsmB40FtR74emuq9jU4bC0DZIbTfOpB1aD+mARew9DIWuIoNicB/y
vMLQGMDlyGDjoJ2k6gjyOrm4NSgvz/M3TIHReRjDI77qp7xj9tszjS3L+q1K2Cxqotg1oy6ZUUZl
WIjyIR7zzzrXj1FAGkqHETYMpPhlKBamBi5sGduqwSs0iZXn1eCVkdmT5oULsiqIMSSLFrQ9ZhFr
n2hQJgs458Ia9VVctfqy6Nq1rydhGpMyYfN/yu4OX0bJTmgheqQmYbkoAx2za/Mmmg3a66bz8Ri7
bEwGp0ZgS0hgzIpDstHovgy0qeJGC7muPCWt+WwWTegYxAJkk/9cd6pa+sYAVCMF9kCi1C0nZJlS
Vi0Ux/tUNntd5TuNKF+OHHetRfFTYWjPzs2PXNJjG+Zggbhn3zaDXOlkrKqMA4PGjMiKqxlpV6UX
V272Oy0lbduer4S7HESjcedPi1c/0/epzV8HUH/OMh61Zmy1AeuXHJtV7kZr0ySdAPXAa1exOCGN
HbKk6JByY4eJNH4psye4Qg+GQ5cRcygl9PU8Bj9LPAfVRLXKHLL1NH8fJ/1dVcy/4wSstZ2hjsCj
vPXt+BW9RrXAisKGqJC6w9FaaIrEFKEw9A5OB3Hac4l7N7KXpIA2l+XhoAfnao5e7djMwPT37qYQ
JiLq4hI50guZgXN+JsljZ1HWjQReETjxAdXtYrokZAytflda5Vl4RI6DZyaoPcvOKLoupQjssKoo
ILzaup8txaexRzvZqpXe1quKE/V4R0UzPbdOnIQk0WAiFw8OiTjYP7p0SeALi8lBVZHV2j1hIbBu
hbWoguHUCk4hyl0yAF56L3/ObFxOoAnv+7yv1jg55B5hTY/Yb2zCOmLgb0bxfaNBw+7M7ZQrzE2I
XIAhbQdlfVam8xsHQItWShHU40+7IuF46eI62EP1J7icK0IY9VGMsafJ152eGAe77onX6aswsDzQ
LEW6cXoP70s5URyQs4ORfD6W+m1M7/aPEUluaTcc6spcDbN/wu/Xrx3beddafV3P+R7eGo+ON3ZA
eL8sWt3ZkH5xBPgd6jO08yjZua23MmaXGRRnYip8Tpw4bEr7DdrS2qzaC03pMEfF5OGYq1vvRYsV
/z7fFUhLvAjsSqZuIu9wooxLZuqWgdmD5JZidwW+quK35/GaQqsgNRIjQbpPKdV9LCC8Ois96/dB
P4VzH2TkJNVPrTOvSxzzPIXpkNBqAgGx7GSEmAwzuAm1fh7nj6rUTmk5fRj4UxfVVG6NWaOMm08G
jzYcu00jGhLMRnIXnOeY2Jt6zu507Rd0IIa2IN/JS55tln4pxFGl+PZsWf/KuIKQFfDuDyRytwNi
Ktzmqv0ihuoNJ27Ym/2uksVDa0bYhigXjFNnqLWvQaOnNlWuXJGR84ZbZqNctWptfUlyxGo2rllW
bgjOwCP/S07Z0syx1wz5fY5ZPmr0A2LNBwH3qcc+VWb5XYc8fyDMiWuHreNQ0LWPuSv3hvEGHW0l
3GGZ+5/457va3lvz61xuY3lBOXnjIApZkXWNGs3SH31/3iQtIdjzrizlioyGzUA6VZ4Hp/EmAxnU
WRhEITwFcCY4aFdS+EdfGPd5NW67Pv1dmruqfo7Q8CaeyS8qOQ8DlrYoVp7yQtuTq4i8vSkz1nU7
oUcyVwi41njX15xOCZTAgDNE7uZSbGoPeNE0+lcL75yK2/2UUFKo6BaXU1BPdOIzrpqD24pjpOvb
MY5CZbUvcoh3eHNJwYu6s07d66FHsqdlE5i4ScpT27H10hw2F7FDY0abCIdzXI0qmEmaPWJ0LYp9
7Fd3dmadlOteEfqtM6dZ0vM7uljIBjdYB2276ridWYX7lSfdvZDmds7Mrw5YqsoKfz+b3mq8UaxG
n+4sGRR2K1akIPCAm0MvgrPZkFRddS9pT7+LtD/LEYc2GD7Hme5GFZzmHq8hvkmdTKDvqiq/BIU4
0vyl8JKLdOqHjve2iM8FN0a8uU0JxMh9qvTbJWOAsVlV7ovImYzA7Md9MBFmNZN+ZBJqkoQVoQlo
OFxoD7WYn5OhuyIqf8gKDZNFnj670tqQNr9hKrnxpvpZkbCwaBL9lmfGuu7W+pRt4VucRnK9pHdu
lFhqBan3XIplMO6Bu8EFiR8IQVzOKt63mvXE1oDX0duZzXQyoZB47nBlaMqMGXWueWk4qMapQLIz
hpGt71UqN3qvI6Z8wauxYZAWTrFzJAiEjAozWQYdPidBDjmere2csE9q+GAwiS1gPpMDTHSFKGl/
J8se62wT2d9WWj+404YLnVahoK7TdyK4jnhJ946RH2xd3KHb2qaUvEbe3Wr/jtSq/B46zbFWZEAI
F9KM+am04Yrvkz0Op1Uu8rOmrCzUGg5cr5c0BpxVbrufqdM8pRiYtN4Kg6R86RT6YGdeoaF8xjyz
w/caUtju58nYFJLZWq7WNirbWBf0M0SwkUQimfqR/I4lVI6FZpLhYd1Mvd1F1oSUpdnZyogQwa0D
8evJJhGgzoOlGd0OYVSKMnvjRfhu7emS4fkOk1mtIhskTDoQkaVSyDUo+XpN2+Da2kWgRBzN39b9
vGYRrKbMAwXbHToCRnBPLu0uqRZD0BAINFOeTjurp5OPBX6js15xi08vg2qvsTlumcygocKSJwP4
ItO104Yj4QUrj2i0WI73KTccygAWd2qT19NFLl9WHnD63aF05p1AuZoqccl1XWKnxRIzR/zHo+vg
xCtP5yfV1aprAmyGQf17QiNY9XfSyRe2iDYaw3RriD6lNN9sYZqhyNqzX0xUdZN57xPkgRm7+pAa
HGcjmh7nNrdXpcITZ+Jzq6R+tXWaIxMlTWXsBjTDpDkeYdwcUCDztfN63YwuaUGWscAwtNJqHiv2
or4FyaPdpP8tPl7VrBq7WOoNUWXwwnHzCU6zAgy+4h5Zx6u0bj4MeDhhq/thoFvLYEQoiGN2pTek
Zal83bI3Vc1wX1TVfeskX1XBCojz6qMH4byIzH6p+aR8UadJfXqzR/dDSz26Wc154GgBTLMvI+0V
uOzKS/prZSdrtzSXrZ+gcmVNdGloSjtemoXaVBhhZe+tbQAiDXdcmwqFWyr1+HByJpjTPLwobfd2
rhE1JtFl5r9Eo75wMTEmssvFPIEv7ZthT5rnbq7UG+ETrEX0pz1dwMkYTkY93XujffY6dYgLzLGR
mWchGsi9r8o3rfmy2TnsVh9gA5OjM6H7LMTeqxwsGaBzEp1ZlHdH6QQoSnc3s29u+3Gt8O5iYV3E
1EVppR9pFC1MS1+OSrvUs9qmkXt06e80fsTegnUb32jOpIHrNz9mRA2BdDvizGS0heY+GYNHHXJV
khqHzPxGVnktkvKKGPwA7eMxJUglz/nduX/Fun3ubzGQWnkPquddBSpYZEgXMfIbiyJz+h2jB6Zp
xnwezIGDR18mdrzG07fwxD7HeEBgJ9AETX83Bw5mJOJT613MicQcwRKLZxNZfbqzinmDzXDTocR2
tOEc9HPYizmMDOuQzMYN9UM7k/K3L821VwzNumgtGzkntT/M8iV2kBPxCNWWUMJ6lWrU0dwXtWWE
ryMcelSTbfZsUCftOicfj51HukxnJQTbuTaInlY426FPngmkCais22bBnnsgLxJKkqexbm0EpqVE
VhLUbGf9lz7J97HSXiuNPgovYVP2T3rrheXUXpPE/sXl9dpX8zMb0dMQcdOvfRaR7RMC59fH2VfT
Ou8dVh2BeVCQgBBsbN9/JWbhcwyw9nS2dnX6rsWNZ7OnabG+k3n/OZTxRnX8cVrah8j1aV96zVM3
6VsXWAPXU4S0kgbaMB+mar6a+jTsAquAh6vwe1iK4oukKFo8ZB/xy/pefBwnXRAmaX13WtaTEJwx
Xe3PSZA9Av864wd/k0NyRfte8TXVpdfo102M/LS8rBZ6Pc6LyrLWTO/xj1TIgNL21ajSy5hXn/hN
NqPvrisaAyJTz15pvXpNvZu6jmajTRvQ2UY1GUVFtIs6f41vNqN4JNGgMNZc+enDCrnWNO2+zXh9
lVY/+pm4k2lziqv5jJnzIJVDcqSNDbNbJTNUiDl4ctqa9TXRyvVG71fQ65dBBdSDNX9NdmZrWOdd
fx0tn1ArY5tzWXcnOmjWTJtJxKETO3hKPONNzvnBi9o67PsMJ0n9BMHkae7qed1b/JozBf8mjhAc
eV5l0c+yHlslr3NUEF7kXCOsLmErrGtmiB2YLdo/hrMDuffqjBXAdXcdV9M+1YcZAPzshGMlv1Pp
vMvJXU7dsCpEfVSJfNDYZHPXwb/bcVtvV22mNWFqVmdbZc++l/4qvRoJdPw8OYzAuRjD6VCP5EA+
Kd97tj3a8oGVsMnd7toVG/YwXyN5CznNCKq5EbN8O3FCobmfiOhj/vIGHMSQP/iNvaoh2wA7X01F
D4PNONItuS+i/GSOktRUBF+1lKdB4YUQGgDP2zCE6Bu25PFgSN/GmMbUouFatsyFhAwiL37NiM1p
fim3ObAuaejqKn4CN3NV9aidChW5B8FN0XI6TBz+eEzJMgvHrKTJq8MCydz70ozPWYdtrtaGgyLm
UoJhdgz57inxgPccVFa68wpnVyMEW+DBqZ9z21q7RH/FBF/NbvzUa8OnZ+kmqEw1Y6+z18NoI87z
IMXppHDt+6RSm7wxroS2P1aa/muM1b2cGMQZmmOHY9IcbdqaaT/v7LZ59HR9Wdb8V+jfh80Ukyzt
5tcuNp5i0dsY8NvsYRixojLk9DmRKM4qAVc2txn0jGV1RJVShC7tVLJ89gahXmo2xk10yy5iPF+u
fYu4YKGxaTf1auBXXdaZzW1/IJbJ7gnjCkaYWiI1FVetwsBFAYpBqg85Onzlhmsqd3/wM7n9PnfY
v1P6Ll9Nb5oLmAmvGHKJqLXjRVZhDSq9+Enl5Xoid7pW/XOfBP0yauKTGLyDkNna9mZ6HpO3HcYJ
bpoq3UUbyccm6274mTS0yMyhcXh1BWOBOq4eZ4UDOJf0x5tboKDX6k/UpdM6rbmBTXq94+b14MXB
E5Gwp2FU55itYaG6Spyk7MarW8XnzpO/bGMKeYwIOyzrDiDse1ZToUn9GzzHnVnpBmI0wqoLP+sZ
ds3Uy+PvZraJ5AR6tFBm/5g11qvujXfIoJ8hSy5dmb4wEVXkm4MqdObhsfDy98ZjlcJsDEunfwGt
Q/FPWBj1HOl9dZAusqQ8GmP84HbFc9IR3DYaitqYcsbmkCvFBHWjJDZI24PPucTYHbKxv5uthn8Y
BrGsjAHwjKjfLAIpFi6PNJXWVkLMiRwsRyz7MO5BxRm2AK+XrLhd7ZNuhmRpsCTJuaMmgtde7CfT
+Oyjid647r8walz2ff6MG4t9RawGrhxDxDxp8O8nTradXuN2D/pi45MdTC+cn6twPBxqsll5JcM9
1xievNykgRTc+XZ/KeabXRXzAr6jPk6+cbW5i84glS+hA+UE2LfSmqGhSh4pJ6/epJ2LrjnBX33y
Bn8T59ldEuuriFfMrZxdpvfMRYOJIQsEGRJIGFH5Lg3keGeXEX1osatS6wWm7GdF69LIxh2GlUuS
5C8CWxRFyd6ps2hrWMOmrM2jD6MqFc0VYvheDv0nMvvXyeaaDfNNS7QTSCYytoNXF34AJe+R0veF
+MeDbWnL1o7uU93HAiMfyt7BR8stL/KXtaE/p+1MWSd2vREtOtREoBD010Hoq8IiBFLgfVp0sBEx
nF0cv9RCyT7U1vWqMMpNk9OqSM01IuZNbtYkXZqSbFB5Ia3mjljd9+yWN17U3ZOsu+tYPwTqQ1jW
i6flV8AdbzYtisQbtgN3v6h2GuIt0SJI79PRKSJWDhQaXhUL/yjmvH3kJm+6le9sWJiZ1jOJLDeE
vpQLLL87ORQPqnGeiVpY99JEGJrKR6sy7uAehUqOX6VT3iaD1cEto/1c07ZN5m+ctFuHlXq7s+BH
AKhg74MIeKFhnwo3fjGwqrm4g2EzDeHYaM8RyZHUdXFIUuEKDQEsypuzbFIH3LtkSaPWDYkePDVB
ci1GQRiftx88ya2qz7YsYAQW/cUU8y12HEuMFQ5BdJ07/T0p6xfWdM/9YP49+TCiTDs+jX72a7zl
yOb4/JaKCjxIsy8YG1u9sb7nQFwcWvFWLg6y8gqmgkS6IHHC+phlxB5Lh39H3Is0HhmCoBDbkhO7
iklJDXJ8UvUQ7IUy3iloGS81zWOvILR00XnAcbaYnODs5uMnaPBt5kOxQvdE44I9bVEpp9x6jGmQ
5h0BxIHYIsuZARsqWhZecXHs4T2prYeytZ7igR+YGy+wfV+7ad5ouFXyuffLO1nnD1ppLdyie4cA
thnr5grRcqdEcfZTedAa43XOgy9aC4DFPHxm7tA+WM4dI71LWRRnOxg2GeY7MtyPwiq2sHDXKia0
tOBNxX29mnyHTGeHPnS58DMmPx+TJl/IAg+1AoLSXF8gwL1OVC90FE7Muny0dzRldNAmhkRCBBbS
DfU0Og058bn0TF/oFyyzrP4k1eF3pZINnKvd5Kk7xgBvsSyeCq94Q8Cz7Kp8hWH9Fjoaela0sssg
nNw+dOmJYZRnj2ZORLBvnFyFb+xUS7tP6rssHe4hST1bCcZ5rzp3wl+Unlfgn47uZEtGNwQoCC7m
Z93TOJzSFfDL9WxOdDtaUBbBSo/zjYiZBplSnQg5eHWG6V0n9tapjIfk9vtLSrDcM8h0KBoa4b16
GWW/nlQbEgWEo5gJRTCiEi9y6ORSwyemVY/NmD9ZWh3spKXvwKWASklPo8o+cEvvLYjytOyTQ91a
oABGvQ5bo/rqCRInyS5EjgaGtdky+T109vQ4tTkdFOLt5TjvpWxpeQT2XZ6SHOLrK7+OLr7GdDcw
d0Frby0pl9ltdODV7PndoWcaXA7dc1Bn91Oqs+MkDz0wrjUhpZvG0B4ig5qjpyvMHv5dmyT61uSH
At3duF78XiOKtTpd4GGVz9LG0S5Ag9UdPwG3gmMeTRXbiPg1EACb5HeFWcNignpjmZ53bBRQZSMv
xLJ1Zb5M9XbXM17KOufgcFsoBrNdxFwFLFkw3XFDzR+/5gFb5x0XfmAllAHFsjO5TOUTwgdibOoa
cluxnItoazfOYbDSdTsCL5D1uxmT0Te7n40sgpWog2w169MyLb21a5G0gik60D+Fo/HtI0YXXfyl
Offgk56bGO5W+sCf8prczlZXrzcjk5W+jw5dpH94lfZUzsaJNNgtHqxHfy6vtY5OWDsTzbdDm8VI
YUbjAz607T9Sz6QJA8Jev82xgKWmjE4CEskWMN2Oep3vKn185Du5C0aRGzHo2zYCt1d/jpPzJNio
F22CaqQ55OX3rdcmuvheWtx9GrZvSz8G+EF9F+RrA8Ak0D6TJjmNVbuRdC4y0h7CgQ4hkWSMWOV7
otr3zNKGlWkyk3I1+buJuKA6jC6cvH7GhfY9SNz9bOAw1eQ25/noU/9rTm5yKXrIBdm6gM4eMc2G
bsB0Pk+LjZENK1tWPCKfOJtu2o/9y1Sl21m51xoh7xJRxpIEs0Xv28euqU5tlKwceoqpztTXnn/r
KsDhO6VHGjqPhlPshDetOjBQVY67Wnj6vV0OXFk7Mq5NOiNRS+GGOfEyBvo5zfNhoTyaOrpxMjF/
LOLBOmb6/J6MxmGqR9oKHGTkY9HDSl9VcBZcdDlsfGc+12m20UeMt2JokQHYIkxGthcicUqyaRFb
WFZ7QQmgoWdNdmSwWUunDpxFZnOhL+Pp2ynFM+jmB9vphkU7N/6COfdT3pts9WZ+9ax0TwLQVTmK
FAAX2iBiLE3W10GMX12eb3vYEfpkfOlVt9YE0bKwEEajHxddrR6SqnvNuvk82/PrjfLY6X2o5/6R
cHM66cmnSGiYasY75H5819MuGzhvIFPzXsBMvsUMDXN3dJrqWSREB6P3CtMC5pSsd85s752USl7J
na66TQJGwgsS+EXuuqCNHCkubbZIF1IzfvsN2jdrNQzo48ycGtMA8DDbzDpwuS8UsZsihULnUYBF
vXxOIS8tJjGvRzkRQmDBq0tJqWYkuar5xlbuEzjgbntitmfFCS3Ibl5liZzXVL2L0rQ/oIGg1xZT
FDaSCWDsBZchZpDt2NOhzK0DKdM7hcV8mu0txIqnckqAPHRIWwjmiId+O6DkMPV0UZhEhCrE9/up
t+nYJvyyqk+vBLM3S4vZg2brTx0BTIM2AVhC7KDb2yLplwXJG3u9dZ+9TqMw8Dg4fShvcTT/bjWb
zXveeAiMa09dI9H2KDBmBmgM/52xCwnEXuU1kGMXDrWZI2BxKNfiWSJYlHxGHz9OmrrTuXwVhX8y
Wu2ZZhHAp7LF4x6Ur2n0P8ydXXuaSBTHv8o+e119YHj1phdKDGa7pmmStumNDyYpIKKIiAx3+932
g+1vNGY1pkkau9tyl6AjDIeZM3P+L/PjRSQrKovpkSaUQkJW/GlOHRTTB2l/JrE7l4wBJdXOoqyG
1mz22RBAFqrkJhXs4CzzK1dh8CthXU6UuEKqZBbCLOznSEV15zl7jnVUnDUm+qmpEHPsddrzctyW
IOOP4Ch3TYnJc2kVR1T0bjCMRstTWZU5i2EYTf7QCv0rle9PZWQc562kxyvErgaVTQtH+HCgd+15
VqDEPvZrTMTaFiqpIgRUE4XCxleZLD6TZTcKkwAsBtVCeyk7cT0lTTdOJbLfgBhAcThh6o9ZNfQQ
EPxajcT1IgMM12rX1nutuqkWCJmA/F8krJSp9w9OLetaL7xa+6y5XfALbVcP8kbEKwOii6KVnHuh
uBosDKbpTzpC13njFlidF1PNmJ9UMVv7WuaBMe9YGkpy5TuktNsD41hi+hGNNK8AdCm7TjLouIh2
SrYxnaOSASQDlVCzZX1mMjVTcyYhAq0Ebg5Nm2TJwGkgVQhGrByG4TBJgpq9+pgtjUogscMiRiDx
0jLP6+yDU/pIHFDDydlQ6C7EJWvLML5yjZp6M/BvtHniTwvYBVorPl3iv7TUQIxGvdHI9ays7Jc4
H0TVxbRmJL2auza4gC4CIEbD8IT0U3YJJHojnGUTBhgLW6NDFNb6s+WNG1+US3D5RmeyyD1t0KuJ
2KL4UjsSdYlxpx4Z/QX5j9k6C50GQ8XsY7FgakPzy5xVVC7RUUyGEh2NcHmbjPRgsITrjrZO5OfL
iVeHJ1Ii09XQu9WImP0yKPoDoMyRXXVS2BqtVj5ESKKtzaHgs7xAzOSd2zB6DTQYmC2u5o0RjwFQ
ZUWlXDMzf2ohAFYBkVzgOemirAy+jVqX6LOxAMPBPjNF1WtNbV8a5C9i1joZgEds1CxYRMzyKP7I
O9YpR3ZMTMaemYKhmGmeg2oY8hu+gT6ISWovMwjzJOHsQACGcI8mCIykVdydlOdZyV5FLY7SOvFk
4uptBM3eh4BypR4d52glLHVE3G00RDXETCLjBNEyjz2aXu4M2nlYnltMcBJgH5CNI81F/khPeyPe
cFfgtJkSHhG+wiHVH9aMPeTRu+lAXLpJzZBiZ/1MSb5QUbHBJ4gryyKpjQ2WazL2NN1E743LEqzy
x1UK4nWCoD9mAMycBYBJDBUaS/yZ0W5tCzfuvplO4xr4alz5VpgGSZwf2xPz8g054GQg2WHy4Smd
W25yUujxM7yNfUQ5uhx4kiirTcVvf0Ad0VpampVxJP0pwGjpz5JnYPP2Qyg51JRt2oE6vwXYjxci
H6EIX/uTKwdD+iEaQeEzPKv9W0CSGoqjwe/gj+I+IEBh2wc2c+TUPg8P/TyShRXo/sew2FUr168z
q7m7AOVrs+dWcy9/rs6+n8aT4mL6ug9tJNIeb+iF9jeaIDm2oQns0NxX17Xy33mqmXGATc/iBnsd
IZomlCyEPBQLXR2//zaeTsK70y29CT/FgDW1MoZsKXoZv7fVTd/qiKfvcd8caL+dnRu4niLxmWMq
FD6g64sX9sCDBrZ6AAk7x0TpFsLP+tjtAa2JUIaA3AOBRh3IsP+UHnjWCAn20MGhAK3fxrh+facP
QoGOUF7hsF3Wp39WKDzbEQxGh3WE2XR0WOGKOr0+diNCb9o2cvyGSW1CHb9eR6zHhoMDwmrqlovn
lMt8tDp2+gHzCc1S7EJz/Qr+/4PCtyNh3QE/IBA0B8o5xqg7d44xmK5GXwh16whgevvFxoR1BzCz
H/YmiCakYvRMlGfl1rTAo8cVDRWhzaC4DrX/KgK+Zz4zmy6ce4QjUINRB49m68J5cmaLhATC4Pr0
Lxe6j8rPHPYQrSaMQW5Xdx5/jV8evC94wPdZEiCY8c0qP4pv4Y3cqslbOQI++4FN5rDfwF1G0Lsh
bzHupXJWn1NmgeuWb1cWhOrvtzvjwypp2Tq5SWK2v353f/u//Og1bf7px7d5kGMAurpbeXeV/SAl
v+pEQVFMwzxItzWGMGi9S97+vaA9q8P7h/5U+14UJMEjTTP0Hdr0M3rC9938ugt/0tzowLbP5VOu
jwc23g4gZP3913jTwSoaGQpRRcbwaPNPFX6v65cPwfdKUz15P49F9H3+vh/nm7z8sa/tvsPqE9fj
2yB/+w8AAAD//w==</cx:binary>
              </cx:geoCache>
            </cx:geography>
          </cx:layoutPr>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6">
  <a:schemeClr val="accent3"/>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 id="16">
  <a:schemeClr val="accent3"/>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5.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jp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1.jpg"/><Relationship Id="rId6" Type="http://schemas.openxmlformats.org/officeDocument/2006/relationships/chart" Target="../charts/chart11.xml"/><Relationship Id="rId5" Type="http://schemas.openxmlformats.org/officeDocument/2006/relationships/chart" Target="../charts/chart10.xml"/><Relationship Id="rId4" Type="http://schemas.microsoft.com/office/2014/relationships/chartEx" Target="../charts/chartEx1.xml"/></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7.sv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1" Type="http://schemas.microsoft.com/office/2014/relationships/chartEx" Target="../charts/chartEx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30</xdr:col>
      <xdr:colOff>229851</xdr:colOff>
      <xdr:row>75</xdr:row>
      <xdr:rowOff>85724</xdr:rowOff>
    </xdr:to>
    <xdr:pic>
      <xdr:nvPicPr>
        <xdr:cNvPr id="3" name="Picture 2">
          <a:extLst>
            <a:ext uri="{FF2B5EF4-FFF2-40B4-BE49-F238E27FC236}">
              <a16:creationId xmlns:a16="http://schemas.microsoft.com/office/drawing/2014/main" id="{464FCBD9-9F29-EAB4-4980-DBB69BD0D6A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0918151" cy="14373224"/>
        </a:xfrm>
        <a:prstGeom prst="rect">
          <a:avLst/>
        </a:prstGeom>
      </xdr:spPr>
    </xdr:pic>
    <xdr:clientData/>
  </xdr:twoCellAnchor>
  <xdr:twoCellAnchor>
    <xdr:from>
      <xdr:col>3</xdr:col>
      <xdr:colOff>1076326</xdr:colOff>
      <xdr:row>1</xdr:row>
      <xdr:rowOff>19051</xdr:rowOff>
    </xdr:from>
    <xdr:to>
      <xdr:col>13</xdr:col>
      <xdr:colOff>361949</xdr:colOff>
      <xdr:row>3</xdr:row>
      <xdr:rowOff>38101</xdr:rowOff>
    </xdr:to>
    <xdr:sp macro="" textlink="">
      <xdr:nvSpPr>
        <xdr:cNvPr id="4" name="TextBox 3">
          <a:extLst>
            <a:ext uri="{FF2B5EF4-FFF2-40B4-BE49-F238E27FC236}">
              <a16:creationId xmlns:a16="http://schemas.microsoft.com/office/drawing/2014/main" id="{8164247B-F6D3-34B9-6D8C-443453DD0D07}"/>
            </a:ext>
          </a:extLst>
        </xdr:cNvPr>
        <xdr:cNvSpPr txBox="1"/>
      </xdr:nvSpPr>
      <xdr:spPr>
        <a:xfrm>
          <a:off x="3038476" y="209551"/>
          <a:ext cx="7648573" cy="4000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000">
              <a:solidFill>
                <a:schemeClr val="bg1"/>
              </a:solidFill>
              <a:latin typeface="Britannic Bold" panose="020B0903060703020204" pitchFamily="34" charset="0"/>
            </a:rPr>
            <a:t>Samsung Revenue Dashboard on Sales</a:t>
          </a:r>
        </a:p>
      </xdr:txBody>
    </xdr:sp>
    <xdr:clientData/>
  </xdr:twoCellAnchor>
  <xdr:twoCellAnchor editAs="oneCell">
    <xdr:from>
      <xdr:col>17</xdr:col>
      <xdr:colOff>361950</xdr:colOff>
      <xdr:row>4</xdr:row>
      <xdr:rowOff>47625</xdr:rowOff>
    </xdr:from>
    <xdr:to>
      <xdr:col>20</xdr:col>
      <xdr:colOff>361950</xdr:colOff>
      <xdr:row>18</xdr:row>
      <xdr:rowOff>47625</xdr:rowOff>
    </xdr:to>
    <mc:AlternateContent xmlns:mc="http://schemas.openxmlformats.org/markup-compatibility/2006" xmlns:a14="http://schemas.microsoft.com/office/drawing/2010/main">
      <mc:Choice Requires="a14">
        <xdr:graphicFrame macro="">
          <xdr:nvGraphicFramePr>
            <xdr:cNvPr id="13" name="Year">
              <a:extLst>
                <a:ext uri="{FF2B5EF4-FFF2-40B4-BE49-F238E27FC236}">
                  <a16:creationId xmlns:a16="http://schemas.microsoft.com/office/drawing/2014/main" id="{5E33AC76-4F37-26A0-8E4C-E9AC687845A2}"/>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125450"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561975</xdr:colOff>
      <xdr:row>4</xdr:row>
      <xdr:rowOff>47625</xdr:rowOff>
    </xdr:from>
    <xdr:to>
      <xdr:col>23</xdr:col>
      <xdr:colOff>561975</xdr:colOff>
      <xdr:row>18</xdr:row>
      <xdr:rowOff>47625</xdr:rowOff>
    </xdr:to>
    <mc:AlternateContent xmlns:mc="http://schemas.openxmlformats.org/markup-compatibility/2006" xmlns:a14="http://schemas.microsoft.com/office/drawing/2010/main">
      <mc:Choice Requires="a14">
        <xdr:graphicFrame macro="">
          <xdr:nvGraphicFramePr>
            <xdr:cNvPr id="14" name="Division">
              <a:extLst>
                <a:ext uri="{FF2B5EF4-FFF2-40B4-BE49-F238E27FC236}">
                  <a16:creationId xmlns:a16="http://schemas.microsoft.com/office/drawing/2014/main" id="{527C791D-E561-3859-3F97-AAEED58B21E0}"/>
                </a:ext>
              </a:extLst>
            </xdr:cNvPr>
            <xdr:cNvGraphicFramePr/>
          </xdr:nvGraphicFramePr>
          <xdr:xfrm>
            <a:off x="0" y="0"/>
            <a:ext cx="0" cy="0"/>
          </xdr:xfrm>
          <a:graphic>
            <a:graphicData uri="http://schemas.microsoft.com/office/drawing/2010/slicer">
              <sle:slicer xmlns:sle="http://schemas.microsoft.com/office/drawing/2010/slicer" name="Division"/>
            </a:graphicData>
          </a:graphic>
        </xdr:graphicFrame>
      </mc:Choice>
      <mc:Fallback xmlns="">
        <xdr:sp macro="" textlink="">
          <xdr:nvSpPr>
            <xdr:cNvPr id="0" name=""/>
            <xdr:cNvSpPr>
              <a:spLocks noTextEdit="1"/>
            </xdr:cNvSpPr>
          </xdr:nvSpPr>
          <xdr:spPr>
            <a:xfrm>
              <a:off x="15154275"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542925</xdr:colOff>
      <xdr:row>19</xdr:row>
      <xdr:rowOff>66675</xdr:rowOff>
    </xdr:from>
    <xdr:to>
      <xdr:col>23</xdr:col>
      <xdr:colOff>542925</xdr:colOff>
      <xdr:row>33</xdr:row>
      <xdr:rowOff>66675</xdr:rowOff>
    </xdr:to>
    <mc:AlternateContent xmlns:mc="http://schemas.openxmlformats.org/markup-compatibility/2006" xmlns:a14="http://schemas.microsoft.com/office/drawing/2010/main">
      <mc:Choice Requires="a14">
        <xdr:graphicFrame macro="">
          <xdr:nvGraphicFramePr>
            <xdr:cNvPr id="15" name="Product Type">
              <a:extLst>
                <a:ext uri="{FF2B5EF4-FFF2-40B4-BE49-F238E27FC236}">
                  <a16:creationId xmlns:a16="http://schemas.microsoft.com/office/drawing/2014/main" id="{A8CB67B1-FDA4-44DE-9202-DDEB85703096}"/>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mlns="">
        <xdr:sp macro="" textlink="">
          <xdr:nvSpPr>
            <xdr:cNvPr id="0" name=""/>
            <xdr:cNvSpPr>
              <a:spLocks noTextEdit="1"/>
            </xdr:cNvSpPr>
          </xdr:nvSpPr>
          <xdr:spPr>
            <a:xfrm>
              <a:off x="15135225" y="36861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409575</xdr:colOff>
      <xdr:row>19</xdr:row>
      <xdr:rowOff>76200</xdr:rowOff>
    </xdr:from>
    <xdr:to>
      <xdr:col>20</xdr:col>
      <xdr:colOff>409575</xdr:colOff>
      <xdr:row>33</xdr:row>
      <xdr:rowOff>76200</xdr:rowOff>
    </xdr:to>
    <mc:AlternateContent xmlns:mc="http://schemas.openxmlformats.org/markup-compatibility/2006" xmlns:a14="http://schemas.microsoft.com/office/drawing/2010/main">
      <mc:Choice Requires="a14">
        <xdr:graphicFrame macro="">
          <xdr:nvGraphicFramePr>
            <xdr:cNvPr id="16" name="Order Method">
              <a:extLst>
                <a:ext uri="{FF2B5EF4-FFF2-40B4-BE49-F238E27FC236}">
                  <a16:creationId xmlns:a16="http://schemas.microsoft.com/office/drawing/2014/main" id="{5CF0D51F-09A0-5688-9036-0F137B7428BB}"/>
                </a:ext>
              </a:extLst>
            </xdr:cNvPr>
            <xdr:cNvGraphicFramePr/>
          </xdr:nvGraphicFramePr>
          <xdr:xfrm>
            <a:off x="0" y="0"/>
            <a:ext cx="0" cy="0"/>
          </xdr:xfrm>
          <a:graphic>
            <a:graphicData uri="http://schemas.microsoft.com/office/drawing/2010/slicer">
              <sle:slicer xmlns:sle="http://schemas.microsoft.com/office/drawing/2010/slicer" name="Order Method"/>
            </a:graphicData>
          </a:graphic>
        </xdr:graphicFrame>
      </mc:Choice>
      <mc:Fallback xmlns="">
        <xdr:sp macro="" textlink="">
          <xdr:nvSpPr>
            <xdr:cNvPr id="0" name=""/>
            <xdr:cNvSpPr>
              <a:spLocks noTextEdit="1"/>
            </xdr:cNvSpPr>
          </xdr:nvSpPr>
          <xdr:spPr>
            <a:xfrm>
              <a:off x="13173075" y="369570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542925</xdr:colOff>
      <xdr:row>1</xdr:row>
      <xdr:rowOff>114300</xdr:rowOff>
    </xdr:from>
    <xdr:to>
      <xdr:col>21</xdr:col>
      <xdr:colOff>561975</xdr:colOff>
      <xdr:row>3</xdr:row>
      <xdr:rowOff>104775</xdr:rowOff>
    </xdr:to>
    <xdr:sp macro="" textlink="">
      <xdr:nvSpPr>
        <xdr:cNvPr id="19" name="TextBox 18">
          <a:extLst>
            <a:ext uri="{FF2B5EF4-FFF2-40B4-BE49-F238E27FC236}">
              <a16:creationId xmlns:a16="http://schemas.microsoft.com/office/drawing/2014/main" id="{35421080-B9C4-87F1-355F-44ABA6AF4293}"/>
            </a:ext>
          </a:extLst>
        </xdr:cNvPr>
        <xdr:cNvSpPr txBox="1"/>
      </xdr:nvSpPr>
      <xdr:spPr>
        <a:xfrm>
          <a:off x="14525625" y="304800"/>
          <a:ext cx="1238250" cy="37147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a:solidFill>
                <a:schemeClr val="bg1"/>
              </a:solidFill>
              <a:latin typeface="Britannic Bold" panose="020B0903060703020204" pitchFamily="34" charset="0"/>
            </a:rPr>
            <a:t>Slicers</a:t>
          </a:r>
        </a:p>
      </xdr:txBody>
    </xdr:sp>
    <xdr:clientData/>
  </xdr:twoCellAnchor>
  <xdr:twoCellAnchor>
    <xdr:from>
      <xdr:col>0</xdr:col>
      <xdr:colOff>323850</xdr:colOff>
      <xdr:row>4</xdr:row>
      <xdr:rowOff>28575</xdr:rowOff>
    </xdr:from>
    <xdr:to>
      <xdr:col>7</xdr:col>
      <xdr:colOff>581025</xdr:colOff>
      <xdr:row>18</xdr:row>
      <xdr:rowOff>95250</xdr:rowOff>
    </xdr:to>
    <xdr:sp macro="" textlink="">
      <xdr:nvSpPr>
        <xdr:cNvPr id="21" name="Rectangle 20">
          <a:extLst>
            <a:ext uri="{FF2B5EF4-FFF2-40B4-BE49-F238E27FC236}">
              <a16:creationId xmlns:a16="http://schemas.microsoft.com/office/drawing/2014/main" id="{8F9F5C8E-CCFD-6539-55EE-C992476B01E2}"/>
            </a:ext>
          </a:extLst>
        </xdr:cNvPr>
        <xdr:cNvSpPr/>
      </xdr:nvSpPr>
      <xdr:spPr>
        <a:xfrm>
          <a:off x="323850" y="790575"/>
          <a:ext cx="6619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257175</xdr:colOff>
      <xdr:row>4</xdr:row>
      <xdr:rowOff>171449</xdr:rowOff>
    </xdr:from>
    <xdr:to>
      <xdr:col>7</xdr:col>
      <xdr:colOff>19050</xdr:colOff>
      <xdr:row>18</xdr:row>
      <xdr:rowOff>104774</xdr:rowOff>
    </xdr:to>
    <xdr:graphicFrame macro="">
      <xdr:nvGraphicFramePr>
        <xdr:cNvPr id="5" name="Chart 4">
          <a:extLst>
            <a:ext uri="{FF2B5EF4-FFF2-40B4-BE49-F238E27FC236}">
              <a16:creationId xmlns:a16="http://schemas.microsoft.com/office/drawing/2014/main" id="{727C2425-211A-40C4-9CC1-65225C78D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752475</xdr:colOff>
      <xdr:row>4</xdr:row>
      <xdr:rowOff>47625</xdr:rowOff>
    </xdr:from>
    <xdr:to>
      <xdr:col>17</xdr:col>
      <xdr:colOff>161925</xdr:colOff>
      <xdr:row>18</xdr:row>
      <xdr:rowOff>114300</xdr:rowOff>
    </xdr:to>
    <xdr:sp macro="" textlink="">
      <xdr:nvSpPr>
        <xdr:cNvPr id="22" name="Rectangle 21">
          <a:extLst>
            <a:ext uri="{FF2B5EF4-FFF2-40B4-BE49-F238E27FC236}">
              <a16:creationId xmlns:a16="http://schemas.microsoft.com/office/drawing/2014/main" id="{B8A23EF2-4F12-4228-8F0B-D1B7AEBE4D30}"/>
            </a:ext>
          </a:extLst>
        </xdr:cNvPr>
        <xdr:cNvSpPr/>
      </xdr:nvSpPr>
      <xdr:spPr>
        <a:xfrm>
          <a:off x="7115175" y="809625"/>
          <a:ext cx="5810250"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904875</xdr:colOff>
      <xdr:row>4</xdr:row>
      <xdr:rowOff>171451</xdr:rowOff>
    </xdr:from>
    <xdr:to>
      <xdr:col>16</xdr:col>
      <xdr:colOff>581025</xdr:colOff>
      <xdr:row>18</xdr:row>
      <xdr:rowOff>133351</xdr:rowOff>
    </xdr:to>
    <xdr:graphicFrame macro="">
      <xdr:nvGraphicFramePr>
        <xdr:cNvPr id="6" name="Chart 5">
          <a:extLst>
            <a:ext uri="{FF2B5EF4-FFF2-40B4-BE49-F238E27FC236}">
              <a16:creationId xmlns:a16="http://schemas.microsoft.com/office/drawing/2014/main" id="{D522CA00-FAA5-417E-B51E-5668254E97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323850</xdr:colOff>
      <xdr:row>19</xdr:row>
      <xdr:rowOff>104775</xdr:rowOff>
    </xdr:from>
    <xdr:to>
      <xdr:col>7</xdr:col>
      <xdr:colOff>581025</xdr:colOff>
      <xdr:row>33</xdr:row>
      <xdr:rowOff>171450</xdr:rowOff>
    </xdr:to>
    <xdr:sp macro="" textlink="">
      <xdr:nvSpPr>
        <xdr:cNvPr id="23" name="Rectangle 22">
          <a:extLst>
            <a:ext uri="{FF2B5EF4-FFF2-40B4-BE49-F238E27FC236}">
              <a16:creationId xmlns:a16="http://schemas.microsoft.com/office/drawing/2014/main" id="{1D679C05-F739-4A59-B231-5811B034F078}"/>
            </a:ext>
          </a:extLst>
        </xdr:cNvPr>
        <xdr:cNvSpPr/>
      </xdr:nvSpPr>
      <xdr:spPr>
        <a:xfrm>
          <a:off x="323850" y="3724275"/>
          <a:ext cx="6619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752475</xdr:colOff>
      <xdr:row>19</xdr:row>
      <xdr:rowOff>114300</xdr:rowOff>
    </xdr:from>
    <xdr:to>
      <xdr:col>17</xdr:col>
      <xdr:colOff>171450</xdr:colOff>
      <xdr:row>33</xdr:row>
      <xdr:rowOff>180975</xdr:rowOff>
    </xdr:to>
    <xdr:sp macro="" textlink="">
      <xdr:nvSpPr>
        <xdr:cNvPr id="24" name="Rectangle 23">
          <a:extLst>
            <a:ext uri="{FF2B5EF4-FFF2-40B4-BE49-F238E27FC236}">
              <a16:creationId xmlns:a16="http://schemas.microsoft.com/office/drawing/2014/main" id="{EF462A3D-2C53-4BED-B9F8-A98D3CA0F44D}"/>
            </a:ext>
          </a:extLst>
        </xdr:cNvPr>
        <xdr:cNvSpPr/>
      </xdr:nvSpPr>
      <xdr:spPr>
        <a:xfrm>
          <a:off x="7115175" y="3733800"/>
          <a:ext cx="58197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18</xdr:col>
      <xdr:colOff>276225</xdr:colOff>
      <xdr:row>34</xdr:row>
      <xdr:rowOff>133350</xdr:rowOff>
    </xdr:from>
    <xdr:to>
      <xdr:col>24</xdr:col>
      <xdr:colOff>438150</xdr:colOff>
      <xdr:row>49</xdr:row>
      <xdr:rowOff>38100</xdr:rowOff>
    </xdr:to>
    <xdr:sp macro="" textlink="">
      <xdr:nvSpPr>
        <xdr:cNvPr id="25" name="Rectangle 24">
          <a:extLst>
            <a:ext uri="{FF2B5EF4-FFF2-40B4-BE49-F238E27FC236}">
              <a16:creationId xmlns:a16="http://schemas.microsoft.com/office/drawing/2014/main" id="{E833F8D2-DEB7-40CB-AE2E-8AB7BD091C75}"/>
            </a:ext>
          </a:extLst>
        </xdr:cNvPr>
        <xdr:cNvSpPr/>
      </xdr:nvSpPr>
      <xdr:spPr>
        <a:xfrm>
          <a:off x="13649325" y="6610350"/>
          <a:ext cx="3819525" cy="2762250"/>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742950</xdr:colOff>
      <xdr:row>34</xdr:row>
      <xdr:rowOff>123825</xdr:rowOff>
    </xdr:from>
    <xdr:to>
      <xdr:col>18</xdr:col>
      <xdr:colOff>123825</xdr:colOff>
      <xdr:row>49</xdr:row>
      <xdr:rowOff>57150</xdr:rowOff>
    </xdr:to>
    <xdr:sp macro="" textlink="">
      <xdr:nvSpPr>
        <xdr:cNvPr id="26" name="Rectangle 25">
          <a:extLst>
            <a:ext uri="{FF2B5EF4-FFF2-40B4-BE49-F238E27FC236}">
              <a16:creationId xmlns:a16="http://schemas.microsoft.com/office/drawing/2014/main" id="{DC433627-9541-4D0D-9DD0-1C9DE8EEBBC6}"/>
            </a:ext>
          </a:extLst>
        </xdr:cNvPr>
        <xdr:cNvSpPr/>
      </xdr:nvSpPr>
      <xdr:spPr>
        <a:xfrm>
          <a:off x="7105650" y="6600825"/>
          <a:ext cx="6391275" cy="279082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9525</xdr:colOff>
      <xdr:row>34</xdr:row>
      <xdr:rowOff>152400</xdr:rowOff>
    </xdr:from>
    <xdr:to>
      <xdr:col>7</xdr:col>
      <xdr:colOff>581025</xdr:colOff>
      <xdr:row>49</xdr:row>
      <xdr:rowOff>28575</xdr:rowOff>
    </xdr:to>
    <xdr:sp macro="" textlink="">
      <xdr:nvSpPr>
        <xdr:cNvPr id="27" name="Rectangle 26">
          <a:extLst>
            <a:ext uri="{FF2B5EF4-FFF2-40B4-BE49-F238E27FC236}">
              <a16:creationId xmlns:a16="http://schemas.microsoft.com/office/drawing/2014/main" id="{DAC62C90-6475-4D92-BDA2-D94ECBDD0B5E}"/>
            </a:ext>
          </a:extLst>
        </xdr:cNvPr>
        <xdr:cNvSpPr/>
      </xdr:nvSpPr>
      <xdr:spPr>
        <a:xfrm>
          <a:off x="342900" y="6629400"/>
          <a:ext cx="660082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190501</xdr:colOff>
      <xdr:row>19</xdr:row>
      <xdr:rowOff>180975</xdr:rowOff>
    </xdr:from>
    <xdr:to>
      <xdr:col>7</xdr:col>
      <xdr:colOff>133350</xdr:colOff>
      <xdr:row>34</xdr:row>
      <xdr:rowOff>42863</xdr:rowOff>
    </xdr:to>
    <xdr:graphicFrame macro="">
      <xdr:nvGraphicFramePr>
        <xdr:cNvPr id="7" name="Chart 6">
          <a:extLst>
            <a:ext uri="{FF2B5EF4-FFF2-40B4-BE49-F238E27FC236}">
              <a16:creationId xmlns:a16="http://schemas.microsoft.com/office/drawing/2014/main" id="{6E2CC153-5D9D-4C81-A5DC-8BC651E7F0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390525</xdr:colOff>
      <xdr:row>34</xdr:row>
      <xdr:rowOff>152401</xdr:rowOff>
    </xdr:from>
    <xdr:to>
      <xdr:col>6</xdr:col>
      <xdr:colOff>857250</xdr:colOff>
      <xdr:row>48</xdr:row>
      <xdr:rowOff>152400</xdr:rowOff>
    </xdr:to>
    <xdr:graphicFrame macro="">
      <xdr:nvGraphicFramePr>
        <xdr:cNvPr id="11" name="Chart 10">
          <a:extLst>
            <a:ext uri="{FF2B5EF4-FFF2-40B4-BE49-F238E27FC236}">
              <a16:creationId xmlns:a16="http://schemas.microsoft.com/office/drawing/2014/main" id="{EC0089D7-2B90-4C3B-86DA-841F6E33E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18</xdr:col>
      <xdr:colOff>542925</xdr:colOff>
      <xdr:row>35</xdr:row>
      <xdr:rowOff>114301</xdr:rowOff>
    </xdr:from>
    <xdr:to>
      <xdr:col>24</xdr:col>
      <xdr:colOff>133350</xdr:colOff>
      <xdr:row>48</xdr:row>
      <xdr:rowOff>152400</xdr:rowOff>
    </xdr:to>
    <xdr:graphicFrame macro="">
      <xdr:nvGraphicFramePr>
        <xdr:cNvPr id="17" name="Chart 16">
          <a:extLst>
            <a:ext uri="{FF2B5EF4-FFF2-40B4-BE49-F238E27FC236}">
              <a16:creationId xmlns:a16="http://schemas.microsoft.com/office/drawing/2014/main" id="{8D657199-8E49-4FCD-AEC9-99D67EB77B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1</xdr:colOff>
      <xdr:row>19</xdr:row>
      <xdr:rowOff>47626</xdr:rowOff>
    </xdr:from>
    <xdr:to>
      <xdr:col>16</xdr:col>
      <xdr:colOff>285751</xdr:colOff>
      <xdr:row>33</xdr:row>
      <xdr:rowOff>123826</xdr:rowOff>
    </xdr:to>
    <xdr:graphicFrame macro="">
      <xdr:nvGraphicFramePr>
        <xdr:cNvPr id="8" name="Chart 7">
          <a:extLst>
            <a:ext uri="{FF2B5EF4-FFF2-40B4-BE49-F238E27FC236}">
              <a16:creationId xmlns:a16="http://schemas.microsoft.com/office/drawing/2014/main" id="{E2D488C2-DCA9-4CB0-8E38-478DC6CD9D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819151</xdr:colOff>
      <xdr:row>34</xdr:row>
      <xdr:rowOff>171450</xdr:rowOff>
    </xdr:from>
    <xdr:to>
      <xdr:col>17</xdr:col>
      <xdr:colOff>561974</xdr:colOff>
      <xdr:row>47</xdr:row>
      <xdr:rowOff>180975</xdr:rowOff>
    </xdr:to>
    <xdr:graphicFrame macro="">
      <xdr:nvGraphicFramePr>
        <xdr:cNvPr id="29" name="Chart 28">
          <a:extLst>
            <a:ext uri="{FF2B5EF4-FFF2-40B4-BE49-F238E27FC236}">
              <a16:creationId xmlns:a16="http://schemas.microsoft.com/office/drawing/2014/main" id="{DAEFCD6F-476D-4976-AA41-53502CEAAE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30</xdr:col>
      <xdr:colOff>352424</xdr:colOff>
      <xdr:row>71</xdr:row>
      <xdr:rowOff>0</xdr:rowOff>
    </xdr:to>
    <xdr:pic>
      <xdr:nvPicPr>
        <xdr:cNvPr id="3" name="Picture 2">
          <a:extLst>
            <a:ext uri="{FF2B5EF4-FFF2-40B4-BE49-F238E27FC236}">
              <a16:creationId xmlns:a16="http://schemas.microsoft.com/office/drawing/2014/main" id="{C42C8BFE-3CEF-7BFE-B394-143D4675274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8640424" cy="13525500"/>
        </a:xfrm>
        <a:prstGeom prst="rect">
          <a:avLst/>
        </a:prstGeom>
      </xdr:spPr>
    </xdr:pic>
    <xdr:clientData/>
  </xdr:twoCellAnchor>
  <xdr:twoCellAnchor>
    <xdr:from>
      <xdr:col>6</xdr:col>
      <xdr:colOff>66675</xdr:colOff>
      <xdr:row>0</xdr:row>
      <xdr:rowOff>133351</xdr:rowOff>
    </xdr:from>
    <xdr:to>
      <xdr:col>13</xdr:col>
      <xdr:colOff>219075</xdr:colOff>
      <xdr:row>3</xdr:row>
      <xdr:rowOff>9525</xdr:rowOff>
    </xdr:to>
    <xdr:sp macro="" textlink="">
      <xdr:nvSpPr>
        <xdr:cNvPr id="4" name="TextBox 3">
          <a:extLst>
            <a:ext uri="{FF2B5EF4-FFF2-40B4-BE49-F238E27FC236}">
              <a16:creationId xmlns:a16="http://schemas.microsoft.com/office/drawing/2014/main" id="{856B8F4A-B815-5291-B504-98583B644974}"/>
            </a:ext>
          </a:extLst>
        </xdr:cNvPr>
        <xdr:cNvSpPr txBox="1"/>
      </xdr:nvSpPr>
      <xdr:spPr>
        <a:xfrm>
          <a:off x="3724275" y="133351"/>
          <a:ext cx="4419600" cy="447674"/>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2000" b="1">
              <a:solidFill>
                <a:schemeClr val="bg1"/>
              </a:solidFill>
              <a:effectLst/>
              <a:latin typeface="Britannic Bold" panose="020B0903060703020204" pitchFamily="34" charset="0"/>
              <a:ea typeface="+mn-ea"/>
              <a:cs typeface="+mn-cs"/>
            </a:rPr>
            <a:t>Samsung Profit Dashboard on Sales</a:t>
          </a:r>
          <a:endParaRPr lang="en-US" sz="2000" b="1">
            <a:solidFill>
              <a:schemeClr val="bg1"/>
            </a:solidFill>
            <a:effectLst/>
            <a:latin typeface="Britannic Bold" panose="020B0903060703020204" pitchFamily="34" charset="0"/>
          </a:endParaRPr>
        </a:p>
        <a:p>
          <a:endParaRPr lang="en-US" sz="2000" b="1">
            <a:solidFill>
              <a:schemeClr val="bg1"/>
            </a:solidFill>
            <a:latin typeface="Britannic Bold" panose="020B0903060703020204" pitchFamily="34" charset="0"/>
          </a:endParaRPr>
        </a:p>
      </xdr:txBody>
    </xdr:sp>
    <xdr:clientData/>
  </xdr:twoCellAnchor>
  <xdr:twoCellAnchor>
    <xdr:from>
      <xdr:col>24</xdr:col>
      <xdr:colOff>19050</xdr:colOff>
      <xdr:row>0</xdr:row>
      <xdr:rowOff>142875</xdr:rowOff>
    </xdr:from>
    <xdr:to>
      <xdr:col>25</xdr:col>
      <xdr:colOff>504825</xdr:colOff>
      <xdr:row>3</xdr:row>
      <xdr:rowOff>9525</xdr:rowOff>
    </xdr:to>
    <xdr:sp macro="" textlink="">
      <xdr:nvSpPr>
        <xdr:cNvPr id="5" name="TextBox 4">
          <a:extLst>
            <a:ext uri="{FF2B5EF4-FFF2-40B4-BE49-F238E27FC236}">
              <a16:creationId xmlns:a16="http://schemas.microsoft.com/office/drawing/2014/main" id="{D9922793-0462-9AFE-B054-4072DAF39ABB}"/>
            </a:ext>
          </a:extLst>
        </xdr:cNvPr>
        <xdr:cNvSpPr txBox="1"/>
      </xdr:nvSpPr>
      <xdr:spPr>
        <a:xfrm>
          <a:off x="14649450" y="142875"/>
          <a:ext cx="1095375" cy="438150"/>
        </a:xfrm>
        <a:prstGeom prst="rect">
          <a:avLst/>
        </a:prstGeom>
        <a:solidFill>
          <a:schemeClr val="tx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chemeClr val="bg1"/>
              </a:solidFill>
              <a:latin typeface="Britannic Bold" panose="020B0903060703020204" pitchFamily="34" charset="0"/>
            </a:rPr>
            <a:t>Slicers</a:t>
          </a:r>
        </a:p>
      </xdr:txBody>
    </xdr:sp>
    <xdr:clientData/>
  </xdr:twoCellAnchor>
  <xdr:twoCellAnchor editAs="oneCell">
    <xdr:from>
      <xdr:col>21</xdr:col>
      <xdr:colOff>428625</xdr:colOff>
      <xdr:row>4</xdr:row>
      <xdr:rowOff>57150</xdr:rowOff>
    </xdr:from>
    <xdr:to>
      <xdr:col>24</xdr:col>
      <xdr:colOff>428625</xdr:colOff>
      <xdr:row>18</xdr:row>
      <xdr:rowOff>57150</xdr:rowOff>
    </xdr:to>
    <mc:AlternateContent xmlns:mc="http://schemas.openxmlformats.org/markup-compatibility/2006" xmlns:a14="http://schemas.microsoft.com/office/drawing/2010/main">
      <mc:Choice Requires="a14">
        <xdr:graphicFrame macro="">
          <xdr:nvGraphicFramePr>
            <xdr:cNvPr id="13" name="Year 2">
              <a:extLst>
                <a:ext uri="{FF2B5EF4-FFF2-40B4-BE49-F238E27FC236}">
                  <a16:creationId xmlns:a16="http://schemas.microsoft.com/office/drawing/2014/main" id="{2C2CBA5E-1059-D6A5-E54D-5D2D176383C1}"/>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3230225" y="8191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47625</xdr:colOff>
      <xdr:row>4</xdr:row>
      <xdr:rowOff>47625</xdr:rowOff>
    </xdr:from>
    <xdr:to>
      <xdr:col>28</xdr:col>
      <xdr:colOff>47625</xdr:colOff>
      <xdr:row>18</xdr:row>
      <xdr:rowOff>47625</xdr:rowOff>
    </xdr:to>
    <mc:AlternateContent xmlns:mc="http://schemas.openxmlformats.org/markup-compatibility/2006" xmlns:a14="http://schemas.microsoft.com/office/drawing/2010/main">
      <mc:Choice Requires="a14">
        <xdr:graphicFrame macro="">
          <xdr:nvGraphicFramePr>
            <xdr:cNvPr id="14" name="Division 1">
              <a:extLst>
                <a:ext uri="{FF2B5EF4-FFF2-40B4-BE49-F238E27FC236}">
                  <a16:creationId xmlns:a16="http://schemas.microsoft.com/office/drawing/2014/main" id="{BFE41591-846B-4EB4-7E42-D490C3ADC001}"/>
                </a:ext>
              </a:extLst>
            </xdr:cNvPr>
            <xdr:cNvGraphicFramePr/>
          </xdr:nvGraphicFramePr>
          <xdr:xfrm>
            <a:off x="0" y="0"/>
            <a:ext cx="0" cy="0"/>
          </xdr:xfrm>
          <a:graphic>
            <a:graphicData uri="http://schemas.microsoft.com/office/drawing/2010/slicer">
              <sle:slicer xmlns:sle="http://schemas.microsoft.com/office/drawing/2010/slicer" name="Division 1"/>
            </a:graphicData>
          </a:graphic>
        </xdr:graphicFrame>
      </mc:Choice>
      <mc:Fallback xmlns="">
        <xdr:sp macro="" textlink="">
          <xdr:nvSpPr>
            <xdr:cNvPr id="0" name=""/>
            <xdr:cNvSpPr>
              <a:spLocks noTextEdit="1"/>
            </xdr:cNvSpPr>
          </xdr:nvSpPr>
          <xdr:spPr>
            <a:xfrm>
              <a:off x="15287625" y="8096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76200</xdr:colOff>
      <xdr:row>19</xdr:row>
      <xdr:rowOff>76200</xdr:rowOff>
    </xdr:from>
    <xdr:to>
      <xdr:col>28</xdr:col>
      <xdr:colOff>76200</xdr:colOff>
      <xdr:row>33</xdr:row>
      <xdr:rowOff>28575</xdr:rowOff>
    </xdr:to>
    <mc:AlternateContent xmlns:mc="http://schemas.openxmlformats.org/markup-compatibility/2006" xmlns:a14="http://schemas.microsoft.com/office/drawing/2010/main">
      <mc:Choice Requires="a14">
        <xdr:graphicFrame macro="">
          <xdr:nvGraphicFramePr>
            <xdr:cNvPr id="15" name="Product Type 1">
              <a:extLst>
                <a:ext uri="{FF2B5EF4-FFF2-40B4-BE49-F238E27FC236}">
                  <a16:creationId xmlns:a16="http://schemas.microsoft.com/office/drawing/2014/main" id="{FCA116BC-7092-8235-347D-601C8F89040E}"/>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15316200" y="3695700"/>
              <a:ext cx="1828800" cy="26193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466725</xdr:colOff>
      <xdr:row>19</xdr:row>
      <xdr:rowOff>57150</xdr:rowOff>
    </xdr:from>
    <xdr:to>
      <xdr:col>24</xdr:col>
      <xdr:colOff>466725</xdr:colOff>
      <xdr:row>33</xdr:row>
      <xdr:rowOff>57150</xdr:rowOff>
    </xdr:to>
    <mc:AlternateContent xmlns:mc="http://schemas.openxmlformats.org/markup-compatibility/2006" xmlns:a14="http://schemas.microsoft.com/office/drawing/2010/main">
      <mc:Choice Requires="a14">
        <xdr:graphicFrame macro="">
          <xdr:nvGraphicFramePr>
            <xdr:cNvPr id="16" name="Order Method 1">
              <a:extLst>
                <a:ext uri="{FF2B5EF4-FFF2-40B4-BE49-F238E27FC236}">
                  <a16:creationId xmlns:a16="http://schemas.microsoft.com/office/drawing/2014/main" id="{11D0CFFA-D984-4218-8856-79B41B93CD99}"/>
                </a:ext>
              </a:extLst>
            </xdr:cNvPr>
            <xdr:cNvGraphicFramePr/>
          </xdr:nvGraphicFramePr>
          <xdr:xfrm>
            <a:off x="0" y="0"/>
            <a:ext cx="0" cy="0"/>
          </xdr:xfrm>
          <a:graphic>
            <a:graphicData uri="http://schemas.microsoft.com/office/drawing/2010/slicer">
              <sle:slicer xmlns:sle="http://schemas.microsoft.com/office/drawing/2010/slicer" name="Order Method 1"/>
            </a:graphicData>
          </a:graphic>
        </xdr:graphicFrame>
      </mc:Choice>
      <mc:Fallback xmlns="">
        <xdr:sp macro="" textlink="">
          <xdr:nvSpPr>
            <xdr:cNvPr id="0" name=""/>
            <xdr:cNvSpPr>
              <a:spLocks noTextEdit="1"/>
            </xdr:cNvSpPr>
          </xdr:nvSpPr>
          <xdr:spPr>
            <a:xfrm>
              <a:off x="13268325" y="36766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200024</xdr:colOff>
      <xdr:row>4</xdr:row>
      <xdr:rowOff>28575</xdr:rowOff>
    </xdr:from>
    <xdr:to>
      <xdr:col>10</xdr:col>
      <xdr:colOff>200025</xdr:colOff>
      <xdr:row>18</xdr:row>
      <xdr:rowOff>95250</xdr:rowOff>
    </xdr:to>
    <xdr:sp macro="" textlink="">
      <xdr:nvSpPr>
        <xdr:cNvPr id="18" name="Rectangle 17">
          <a:extLst>
            <a:ext uri="{FF2B5EF4-FFF2-40B4-BE49-F238E27FC236}">
              <a16:creationId xmlns:a16="http://schemas.microsoft.com/office/drawing/2014/main" id="{F621A78C-1FF5-4D55-9B58-0836F33FC1EF}"/>
            </a:ext>
          </a:extLst>
        </xdr:cNvPr>
        <xdr:cNvSpPr/>
      </xdr:nvSpPr>
      <xdr:spPr>
        <a:xfrm>
          <a:off x="200024" y="790575"/>
          <a:ext cx="6096001"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152401</xdr:colOff>
      <xdr:row>19</xdr:row>
      <xdr:rowOff>152400</xdr:rowOff>
    </xdr:from>
    <xdr:to>
      <xdr:col>10</xdr:col>
      <xdr:colOff>219075</xdr:colOff>
      <xdr:row>33</xdr:row>
      <xdr:rowOff>180975</xdr:rowOff>
    </xdr:to>
    <xdr:sp macro="" textlink="">
      <xdr:nvSpPr>
        <xdr:cNvPr id="19" name="Rectangle 18">
          <a:extLst>
            <a:ext uri="{FF2B5EF4-FFF2-40B4-BE49-F238E27FC236}">
              <a16:creationId xmlns:a16="http://schemas.microsoft.com/office/drawing/2014/main" id="{D9500E11-7E59-40F7-8B17-758543514112}"/>
            </a:ext>
          </a:extLst>
        </xdr:cNvPr>
        <xdr:cNvSpPr/>
      </xdr:nvSpPr>
      <xdr:spPr>
        <a:xfrm>
          <a:off x="152401" y="3771900"/>
          <a:ext cx="6162674" cy="26955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409575</xdr:colOff>
      <xdr:row>4</xdr:row>
      <xdr:rowOff>28575</xdr:rowOff>
    </xdr:from>
    <xdr:to>
      <xdr:col>20</xdr:col>
      <xdr:colOff>561976</xdr:colOff>
      <xdr:row>18</xdr:row>
      <xdr:rowOff>123825</xdr:rowOff>
    </xdr:to>
    <xdr:sp macro="" textlink="">
      <xdr:nvSpPr>
        <xdr:cNvPr id="20" name="Rectangle 19">
          <a:extLst>
            <a:ext uri="{FF2B5EF4-FFF2-40B4-BE49-F238E27FC236}">
              <a16:creationId xmlns:a16="http://schemas.microsoft.com/office/drawing/2014/main" id="{38A05A5E-325B-4D1D-8127-A8D5F07DDDBF}"/>
            </a:ext>
          </a:extLst>
        </xdr:cNvPr>
        <xdr:cNvSpPr/>
      </xdr:nvSpPr>
      <xdr:spPr>
        <a:xfrm>
          <a:off x="6505575" y="790575"/>
          <a:ext cx="6248401" cy="2762250"/>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419100</xdr:colOff>
      <xdr:row>19</xdr:row>
      <xdr:rowOff>142875</xdr:rowOff>
    </xdr:from>
    <xdr:to>
      <xdr:col>20</xdr:col>
      <xdr:colOff>561975</xdr:colOff>
      <xdr:row>34</xdr:row>
      <xdr:rowOff>19050</xdr:rowOff>
    </xdr:to>
    <xdr:sp macro="" textlink="">
      <xdr:nvSpPr>
        <xdr:cNvPr id="21" name="Rectangle 20">
          <a:extLst>
            <a:ext uri="{FF2B5EF4-FFF2-40B4-BE49-F238E27FC236}">
              <a16:creationId xmlns:a16="http://schemas.microsoft.com/office/drawing/2014/main" id="{5ADAE5A0-9D97-4CD4-B4C8-86CAC5055F6F}"/>
            </a:ext>
          </a:extLst>
        </xdr:cNvPr>
        <xdr:cNvSpPr/>
      </xdr:nvSpPr>
      <xdr:spPr>
        <a:xfrm>
          <a:off x="6515100" y="3762375"/>
          <a:ext cx="6238875"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180975</xdr:colOff>
      <xdr:row>35</xdr:row>
      <xdr:rowOff>9525</xdr:rowOff>
    </xdr:from>
    <xdr:to>
      <xdr:col>21</xdr:col>
      <xdr:colOff>9525</xdr:colOff>
      <xdr:row>49</xdr:row>
      <xdr:rowOff>76200</xdr:rowOff>
    </xdr:to>
    <xdr:sp macro="" textlink="">
      <xdr:nvSpPr>
        <xdr:cNvPr id="22" name="Rectangle 21">
          <a:extLst>
            <a:ext uri="{FF2B5EF4-FFF2-40B4-BE49-F238E27FC236}">
              <a16:creationId xmlns:a16="http://schemas.microsoft.com/office/drawing/2014/main" id="{9C361D23-84A7-483E-9D8C-DAD7C82A1429}"/>
            </a:ext>
          </a:extLst>
        </xdr:cNvPr>
        <xdr:cNvSpPr/>
      </xdr:nvSpPr>
      <xdr:spPr>
        <a:xfrm>
          <a:off x="180975" y="6677025"/>
          <a:ext cx="12630150" cy="2733675"/>
        </a:xfrm>
        <a:prstGeom prst="rect">
          <a:avLst/>
        </a:prstGeom>
        <a:solidFill>
          <a:schemeClr val="bg1">
            <a:lumMod val="50000"/>
          </a:schemeClr>
        </a:solidFill>
        <a:effectLst>
          <a:glow rad="127000">
            <a:schemeClr val="accent1">
              <a:alpha val="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495299</xdr:colOff>
      <xdr:row>35</xdr:row>
      <xdr:rowOff>142874</xdr:rowOff>
    </xdr:from>
    <xdr:to>
      <xdr:col>20</xdr:col>
      <xdr:colOff>485774</xdr:colOff>
      <xdr:row>48</xdr:row>
      <xdr:rowOff>38099</xdr:rowOff>
    </xdr:to>
    <xdr:graphicFrame macro="">
      <xdr:nvGraphicFramePr>
        <xdr:cNvPr id="17" name="Chart 16">
          <a:extLst>
            <a:ext uri="{FF2B5EF4-FFF2-40B4-BE49-F238E27FC236}">
              <a16:creationId xmlns:a16="http://schemas.microsoft.com/office/drawing/2014/main" id="{F6B2C98A-8CDE-49A8-B642-894FAAB1C9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66674</xdr:colOff>
      <xdr:row>4</xdr:row>
      <xdr:rowOff>104775</xdr:rowOff>
    </xdr:from>
    <xdr:to>
      <xdr:col>9</xdr:col>
      <xdr:colOff>190499</xdr:colOff>
      <xdr:row>17</xdr:row>
      <xdr:rowOff>152400</xdr:rowOff>
    </xdr:to>
    <xdr:graphicFrame macro="">
      <xdr:nvGraphicFramePr>
        <xdr:cNvPr id="9" name="Chart 8">
          <a:extLst>
            <a:ext uri="{FF2B5EF4-FFF2-40B4-BE49-F238E27FC236}">
              <a16:creationId xmlns:a16="http://schemas.microsoft.com/office/drawing/2014/main" id="{F1940340-1254-4631-A43C-57BB75CE79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457200</xdr:colOff>
      <xdr:row>5</xdr:row>
      <xdr:rowOff>38100</xdr:rowOff>
    </xdr:from>
    <xdr:to>
      <xdr:col>20</xdr:col>
      <xdr:colOff>161925</xdr:colOff>
      <xdr:row>18</xdr:row>
      <xdr:rowOff>28575</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A25CE408-F70E-46DC-B760-FDA216192FB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7162800" y="990600"/>
              <a:ext cx="5191125" cy="246697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0</xdr:col>
      <xdr:colOff>523875</xdr:colOff>
      <xdr:row>20</xdr:row>
      <xdr:rowOff>114300</xdr:rowOff>
    </xdr:from>
    <xdr:to>
      <xdr:col>9</xdr:col>
      <xdr:colOff>390525</xdr:colOff>
      <xdr:row>32</xdr:row>
      <xdr:rowOff>114300</xdr:rowOff>
    </xdr:to>
    <xdr:graphicFrame macro="">
      <xdr:nvGraphicFramePr>
        <xdr:cNvPr id="11" name="Chart 10">
          <a:extLst>
            <a:ext uri="{FF2B5EF4-FFF2-40B4-BE49-F238E27FC236}">
              <a16:creationId xmlns:a16="http://schemas.microsoft.com/office/drawing/2014/main" id="{23392BFD-F09D-4777-83C3-953F80A0B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428624</xdr:colOff>
      <xdr:row>19</xdr:row>
      <xdr:rowOff>133350</xdr:rowOff>
    </xdr:from>
    <xdr:to>
      <xdr:col>20</xdr:col>
      <xdr:colOff>133349</xdr:colOff>
      <xdr:row>33</xdr:row>
      <xdr:rowOff>95250</xdr:rowOff>
    </xdr:to>
    <xdr:graphicFrame macro="">
      <xdr:nvGraphicFramePr>
        <xdr:cNvPr id="12" name="Chart 11">
          <a:extLst>
            <a:ext uri="{FF2B5EF4-FFF2-40B4-BE49-F238E27FC236}">
              <a16:creationId xmlns:a16="http://schemas.microsoft.com/office/drawing/2014/main" id="{85AA4DE7-4B0A-4710-A0F1-0BC718E4F1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absolute">
    <xdr:from>
      <xdr:col>10</xdr:col>
      <xdr:colOff>0</xdr:colOff>
      <xdr:row>12</xdr:row>
      <xdr:rowOff>180975</xdr:rowOff>
    </xdr:from>
    <xdr:to>
      <xdr:col>12</xdr:col>
      <xdr:colOff>600075</xdr:colOff>
      <xdr:row>27</xdr:row>
      <xdr:rowOff>9525</xdr:rowOff>
    </xdr:to>
    <mc:AlternateContent xmlns:mc="http://schemas.openxmlformats.org/markup-compatibility/2006" xmlns:sle15="http://schemas.microsoft.com/office/drawing/2012/slicer">
      <mc:Choice Requires="sle15">
        <xdr:graphicFrame macro="">
          <xdr:nvGraphicFramePr>
            <xdr:cNvPr id="5" name="Sales Rep">
              <a:extLst>
                <a:ext uri="{FF2B5EF4-FFF2-40B4-BE49-F238E27FC236}">
                  <a16:creationId xmlns:a16="http://schemas.microsoft.com/office/drawing/2014/main" id="{3F90954F-638A-D3C6-E686-5DA523691FE2}"/>
                </a:ext>
              </a:extLst>
            </xdr:cNvPr>
            <xdr:cNvGraphicFramePr/>
          </xdr:nvGraphicFramePr>
          <xdr:xfrm>
            <a:off x="0" y="0"/>
            <a:ext cx="0" cy="0"/>
          </xdr:xfrm>
          <a:graphic>
            <a:graphicData uri="http://schemas.microsoft.com/office/drawing/2010/slicer">
              <sle:slicer xmlns:sle="http://schemas.microsoft.com/office/drawing/2010/slicer" name="Sales Rep"/>
            </a:graphicData>
          </a:graphic>
        </xdr:graphicFrame>
      </mc:Choice>
      <mc:Fallback xmlns="">
        <xdr:sp macro="" textlink="">
          <xdr:nvSpPr>
            <xdr:cNvPr id="0" name=""/>
            <xdr:cNvSpPr>
              <a:spLocks noTextEdit="1"/>
            </xdr:cNvSpPr>
          </xdr:nvSpPr>
          <xdr:spPr>
            <a:xfrm>
              <a:off x="6600825" y="2505075"/>
              <a:ext cx="1819275" cy="2686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609599</xdr:colOff>
      <xdr:row>12</xdr:row>
      <xdr:rowOff>180975</xdr:rowOff>
    </xdr:from>
    <xdr:to>
      <xdr:col>15</xdr:col>
      <xdr:colOff>581024</xdr:colOff>
      <xdr:row>26</xdr:row>
      <xdr:rowOff>180975</xdr:rowOff>
    </xdr:to>
    <mc:AlternateContent xmlns:mc="http://schemas.openxmlformats.org/markup-compatibility/2006" xmlns:sle15="http://schemas.microsoft.com/office/drawing/2012/slicer">
      <mc:Choice Requires="sle15">
        <xdr:graphicFrame macro="">
          <xdr:nvGraphicFramePr>
            <xdr:cNvPr id="6" name="Payment Method">
              <a:extLst>
                <a:ext uri="{FF2B5EF4-FFF2-40B4-BE49-F238E27FC236}">
                  <a16:creationId xmlns:a16="http://schemas.microsoft.com/office/drawing/2014/main" id="{8C69767E-4EEB-EBE6-E572-BA26890364C8}"/>
                </a:ext>
              </a:extLst>
            </xdr:cNvPr>
            <xdr:cNvGraphicFramePr/>
          </xdr:nvGraphicFramePr>
          <xdr:xfrm>
            <a:off x="0" y="0"/>
            <a:ext cx="0" cy="0"/>
          </xdr:xfrm>
          <a:graphic>
            <a:graphicData uri="http://schemas.microsoft.com/office/drawing/2010/slicer">
              <sle:slicer xmlns:sle="http://schemas.microsoft.com/office/drawing/2010/slicer" name="Payment Method"/>
            </a:graphicData>
          </a:graphic>
        </xdr:graphicFrame>
      </mc:Choice>
      <mc:Fallback xmlns="">
        <xdr:sp macro="" textlink="">
          <xdr:nvSpPr>
            <xdr:cNvPr id="0" name=""/>
            <xdr:cNvSpPr>
              <a:spLocks noTextEdit="1"/>
            </xdr:cNvSpPr>
          </xdr:nvSpPr>
          <xdr:spPr>
            <a:xfrm>
              <a:off x="8429624" y="2505075"/>
              <a:ext cx="1800225"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15</xdr:col>
      <xdr:colOff>600074</xdr:colOff>
      <xdr:row>12</xdr:row>
      <xdr:rowOff>180975</xdr:rowOff>
    </xdr:from>
    <xdr:to>
      <xdr:col>18</xdr:col>
      <xdr:colOff>923924</xdr:colOff>
      <xdr:row>26</xdr:row>
      <xdr:rowOff>171450</xdr:rowOff>
    </xdr:to>
    <mc:AlternateContent xmlns:mc="http://schemas.openxmlformats.org/markup-compatibility/2006" xmlns:sle15="http://schemas.microsoft.com/office/drawing/2012/slicer">
      <mc:Choice Requires="sle15">
        <xdr:graphicFrame macro="">
          <xdr:nvGraphicFramePr>
            <xdr:cNvPr id="7" name="Q3">
              <a:extLst>
                <a:ext uri="{FF2B5EF4-FFF2-40B4-BE49-F238E27FC236}">
                  <a16:creationId xmlns:a16="http://schemas.microsoft.com/office/drawing/2014/main" id="{BEE468A5-AE95-041E-B7FA-28705CECAB13}"/>
                </a:ext>
              </a:extLst>
            </xdr:cNvPr>
            <xdr:cNvGraphicFramePr/>
          </xdr:nvGraphicFramePr>
          <xdr:xfrm>
            <a:off x="0" y="0"/>
            <a:ext cx="0" cy="0"/>
          </xdr:xfrm>
          <a:graphic>
            <a:graphicData uri="http://schemas.microsoft.com/office/drawing/2010/slicer">
              <sle:slicer xmlns:sle="http://schemas.microsoft.com/office/drawing/2010/slicer" name="Q3"/>
            </a:graphicData>
          </a:graphic>
        </xdr:graphicFrame>
      </mc:Choice>
      <mc:Fallback xmlns="">
        <xdr:sp macro="" textlink="">
          <xdr:nvSpPr>
            <xdr:cNvPr id="0" name=""/>
            <xdr:cNvSpPr>
              <a:spLocks noTextEdit="1"/>
            </xdr:cNvSpPr>
          </xdr:nvSpPr>
          <xdr:spPr>
            <a:xfrm>
              <a:off x="10248899" y="2505075"/>
              <a:ext cx="2085975" cy="26574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xdr:colOff>
      <xdr:row>0</xdr:row>
      <xdr:rowOff>161925</xdr:rowOff>
    </xdr:from>
    <xdr:to>
      <xdr:col>6</xdr:col>
      <xdr:colOff>9525</xdr:colOff>
      <xdr:row>3</xdr:row>
      <xdr:rowOff>9525</xdr:rowOff>
    </xdr:to>
    <xdr:sp macro="" textlink="">
      <xdr:nvSpPr>
        <xdr:cNvPr id="2" name="Rectangle: Rounded Corners 1">
          <a:extLst>
            <a:ext uri="{FF2B5EF4-FFF2-40B4-BE49-F238E27FC236}">
              <a16:creationId xmlns:a16="http://schemas.microsoft.com/office/drawing/2014/main" id="{DD2ECBBA-0A0B-4F4D-AA49-9D3E69995762}"/>
            </a:ext>
          </a:extLst>
        </xdr:cNvPr>
        <xdr:cNvSpPr/>
      </xdr:nvSpPr>
      <xdr:spPr>
        <a:xfrm>
          <a:off x="19050" y="161925"/>
          <a:ext cx="3867150" cy="419100"/>
        </a:xfrm>
        <a:prstGeom prst="roundRect">
          <a:avLst/>
        </a:prstGeom>
      </xdr:spPr>
      <xdr:style>
        <a:lnRef idx="2">
          <a:schemeClr val="accent4"/>
        </a:lnRef>
        <a:fillRef idx="1">
          <a:schemeClr val="lt1"/>
        </a:fillRef>
        <a:effectRef idx="0">
          <a:schemeClr val="accent4"/>
        </a:effectRef>
        <a:fontRef idx="minor">
          <a:schemeClr val="dk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457200</xdr:colOff>
          <xdr:row>1</xdr:row>
          <xdr:rowOff>66675</xdr:rowOff>
        </xdr:from>
        <xdr:to>
          <xdr:col>4</xdr:col>
          <xdr:colOff>428625</xdr:colOff>
          <xdr:row>2</xdr:row>
          <xdr:rowOff>123825</xdr:rowOff>
        </xdr:to>
        <xdr:sp macro="" textlink="">
          <xdr:nvSpPr>
            <xdr:cNvPr id="23562" name="TextBox2" hidden="1">
              <a:extLst>
                <a:ext uri="{63B3BB69-23CF-44E3-9099-C40C66FF867C}">
                  <a14:compatExt spid="_x0000_s23562"/>
                </a:ext>
                <a:ext uri="{FF2B5EF4-FFF2-40B4-BE49-F238E27FC236}">
                  <a16:creationId xmlns:a16="http://schemas.microsoft.com/office/drawing/2014/main" id="{00000000-0008-0000-0300-00000A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66676</xdr:colOff>
      <xdr:row>1</xdr:row>
      <xdr:rowOff>38101</xdr:rowOff>
    </xdr:from>
    <xdr:to>
      <xdr:col>0</xdr:col>
      <xdr:colOff>381000</xdr:colOff>
      <xdr:row>2</xdr:row>
      <xdr:rowOff>161925</xdr:rowOff>
    </xdr:to>
    <xdr:pic>
      <xdr:nvPicPr>
        <xdr:cNvPr id="4" name="Graphic 3" descr="Magnifying glass with solid fill">
          <a:extLst>
            <a:ext uri="{FF2B5EF4-FFF2-40B4-BE49-F238E27FC236}">
              <a16:creationId xmlns:a16="http://schemas.microsoft.com/office/drawing/2014/main" id="{11B84684-9483-3BD9-695E-110D6E4D6891}"/>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66676" y="228601"/>
          <a:ext cx="314324" cy="31432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600075</xdr:colOff>
      <xdr:row>1</xdr:row>
      <xdr:rowOff>38100</xdr:rowOff>
    </xdr:from>
    <xdr:to>
      <xdr:col>9</xdr:col>
      <xdr:colOff>571500</xdr:colOff>
      <xdr:row>3</xdr:row>
      <xdr:rowOff>28575</xdr:rowOff>
    </xdr:to>
    <xdr:sp macro="" textlink="">
      <xdr:nvSpPr>
        <xdr:cNvPr id="2" name="Rectangle: Rounded Corners 1">
          <a:extLst>
            <a:ext uri="{FF2B5EF4-FFF2-40B4-BE49-F238E27FC236}">
              <a16:creationId xmlns:a16="http://schemas.microsoft.com/office/drawing/2014/main" id="{63B39B71-98CC-9786-5383-87C47E206A3D}"/>
            </a:ext>
          </a:extLst>
        </xdr:cNvPr>
        <xdr:cNvSpPr/>
      </xdr:nvSpPr>
      <xdr:spPr>
        <a:xfrm>
          <a:off x="2428875" y="228600"/>
          <a:ext cx="4752975" cy="371475"/>
        </a:xfrm>
        <a:prstGeom prst="roundRect">
          <a:avLst/>
        </a:prstGeom>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4</xdr:col>
      <xdr:colOff>76201</xdr:colOff>
      <xdr:row>1</xdr:row>
      <xdr:rowOff>47626</xdr:rowOff>
    </xdr:from>
    <xdr:to>
      <xdr:col>4</xdr:col>
      <xdr:colOff>419101</xdr:colOff>
      <xdr:row>3</xdr:row>
      <xdr:rowOff>9526</xdr:rowOff>
    </xdr:to>
    <xdr:pic>
      <xdr:nvPicPr>
        <xdr:cNvPr id="4" name="Graphic 3" descr="Magnifying glass with solid fill">
          <a:extLst>
            <a:ext uri="{FF2B5EF4-FFF2-40B4-BE49-F238E27FC236}">
              <a16:creationId xmlns:a16="http://schemas.microsoft.com/office/drawing/2014/main" id="{22F0E4DF-96B2-BA7C-C676-E8467F15CCC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514601" y="238126"/>
          <a:ext cx="342900" cy="3429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466725</xdr:colOff>
          <xdr:row>1</xdr:row>
          <xdr:rowOff>95250</xdr:rowOff>
        </xdr:from>
        <xdr:to>
          <xdr:col>9</xdr:col>
          <xdr:colOff>428625</xdr:colOff>
          <xdr:row>2</xdr:row>
          <xdr:rowOff>171450</xdr:rowOff>
        </xdr:to>
        <xdr:sp macro="" textlink="">
          <xdr:nvSpPr>
            <xdr:cNvPr id="45059" name="TextBox1" hidden="1">
              <a:extLst>
                <a:ext uri="{63B3BB69-23CF-44E3-9099-C40C66FF867C}">
                  <a14:compatExt spid="_x0000_s45059"/>
                </a:ext>
                <a:ext uri="{FF2B5EF4-FFF2-40B4-BE49-F238E27FC236}">
                  <a16:creationId xmlns:a16="http://schemas.microsoft.com/office/drawing/2014/main" id="{00000000-0008-0000-0400-000003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0</xdr:row>
          <xdr:rowOff>0</xdr:rowOff>
        </xdr:from>
        <xdr:to>
          <xdr:col>9</xdr:col>
          <xdr:colOff>0</xdr:colOff>
          <xdr:row>4</xdr:row>
          <xdr:rowOff>19050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7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Enter Blood Group Information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9525</xdr:rowOff>
    </xdr:from>
    <xdr:to>
      <xdr:col>8</xdr:col>
      <xdr:colOff>133350</xdr:colOff>
      <xdr:row>15</xdr:row>
      <xdr:rowOff>114300</xdr:rowOff>
    </xdr:to>
    <xdr:graphicFrame macro="">
      <xdr:nvGraphicFramePr>
        <xdr:cNvPr id="2" name="Chart 1">
          <a:extLst>
            <a:ext uri="{FF2B5EF4-FFF2-40B4-BE49-F238E27FC236}">
              <a16:creationId xmlns:a16="http://schemas.microsoft.com/office/drawing/2014/main" id="{FE7F1F71-D3EE-AED2-254F-CEB587684D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138112</xdr:colOff>
      <xdr:row>0</xdr:row>
      <xdr:rowOff>0</xdr:rowOff>
    </xdr:from>
    <xdr:to>
      <xdr:col>16</xdr:col>
      <xdr:colOff>0</xdr:colOff>
      <xdr:row>15</xdr:row>
      <xdr:rowOff>114300</xdr:rowOff>
    </xdr:to>
    <xdr:graphicFrame macro="">
      <xdr:nvGraphicFramePr>
        <xdr:cNvPr id="3" name="Chart 3">
          <a:extLst>
            <a:ext uri="{FF2B5EF4-FFF2-40B4-BE49-F238E27FC236}">
              <a16:creationId xmlns:a16="http://schemas.microsoft.com/office/drawing/2014/main" id="{C84069E2-0CF0-B45C-D223-7D614450B6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142875</xdr:colOff>
      <xdr:row>15</xdr:row>
      <xdr:rowOff>114299</xdr:rowOff>
    </xdr:from>
    <xdr:to>
      <xdr:col>10</xdr:col>
      <xdr:colOff>466725</xdr:colOff>
      <xdr:row>29</xdr:row>
      <xdr:rowOff>180974</xdr:rowOff>
    </xdr:to>
    <mc:AlternateContent xmlns:mc="http://schemas.openxmlformats.org/markup-compatibility/2006" xmlns:a14="http://schemas.microsoft.com/office/drawing/2010/main">
      <mc:Choice Requires="a14">
        <xdr:graphicFrame macro="">
          <xdr:nvGraphicFramePr>
            <xdr:cNvPr id="4" name="Year 1">
              <a:extLst>
                <a:ext uri="{FF2B5EF4-FFF2-40B4-BE49-F238E27FC236}">
                  <a16:creationId xmlns:a16="http://schemas.microsoft.com/office/drawing/2014/main" id="{B54F44D1-2378-6285-C771-DA47198E9D1A}"/>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019675" y="2971799"/>
              <a:ext cx="1543050"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485775</xdr:colOff>
      <xdr:row>15</xdr:row>
      <xdr:rowOff>104774</xdr:rowOff>
    </xdr:from>
    <xdr:to>
      <xdr:col>13</xdr:col>
      <xdr:colOff>57150</xdr:colOff>
      <xdr:row>29</xdr:row>
      <xdr:rowOff>161925</xdr:rowOff>
    </xdr:to>
    <mc:AlternateContent xmlns:mc="http://schemas.openxmlformats.org/markup-compatibility/2006" xmlns:a14="http://schemas.microsoft.com/office/drawing/2010/main">
      <mc:Choice Requires="a14">
        <xdr:graphicFrame macro="">
          <xdr:nvGraphicFramePr>
            <xdr:cNvPr id="5" name="Car 1">
              <a:extLst>
                <a:ext uri="{FF2B5EF4-FFF2-40B4-BE49-F238E27FC236}">
                  <a16:creationId xmlns:a16="http://schemas.microsoft.com/office/drawing/2014/main" id="{A127BC13-E5F6-2B75-E2E2-A3C955900355}"/>
                </a:ext>
              </a:extLst>
            </xdr:cNvPr>
            <xdr:cNvGraphicFramePr/>
          </xdr:nvGraphicFramePr>
          <xdr:xfrm>
            <a:off x="0" y="0"/>
            <a:ext cx="0" cy="0"/>
          </xdr:xfrm>
          <a:graphic>
            <a:graphicData uri="http://schemas.microsoft.com/office/drawing/2010/slicer">
              <sle:slicer xmlns:sle="http://schemas.microsoft.com/office/drawing/2010/slicer" name="Car 1"/>
            </a:graphicData>
          </a:graphic>
        </xdr:graphicFrame>
      </mc:Choice>
      <mc:Fallback xmlns="">
        <xdr:sp macro="" textlink="">
          <xdr:nvSpPr>
            <xdr:cNvPr id="0" name=""/>
            <xdr:cNvSpPr>
              <a:spLocks noTextEdit="1"/>
            </xdr:cNvSpPr>
          </xdr:nvSpPr>
          <xdr:spPr>
            <a:xfrm>
              <a:off x="6581775" y="2962274"/>
              <a:ext cx="1400175" cy="272415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28575</xdr:colOff>
      <xdr:row>15</xdr:row>
      <xdr:rowOff>104774</xdr:rowOff>
    </xdr:from>
    <xdr:to>
      <xdr:col>15</xdr:col>
      <xdr:colOff>600075</xdr:colOff>
      <xdr:row>29</xdr:row>
      <xdr:rowOff>171449</xdr:rowOff>
    </xdr:to>
    <mc:AlternateContent xmlns:mc="http://schemas.openxmlformats.org/markup-compatibility/2006" xmlns:a14="http://schemas.microsoft.com/office/drawing/2010/main">
      <mc:Choice Requires="a14">
        <xdr:graphicFrame macro="">
          <xdr:nvGraphicFramePr>
            <xdr:cNvPr id="6" name="Type 1">
              <a:extLst>
                <a:ext uri="{FF2B5EF4-FFF2-40B4-BE49-F238E27FC236}">
                  <a16:creationId xmlns:a16="http://schemas.microsoft.com/office/drawing/2014/main" id="{78D27A04-B2C6-4616-4F9C-96B46CD474A3}"/>
                </a:ext>
              </a:extLst>
            </xdr:cNvPr>
            <xdr:cNvGraphicFramePr/>
          </xdr:nvGraphicFramePr>
          <xdr:xfrm>
            <a:off x="0" y="0"/>
            <a:ext cx="0" cy="0"/>
          </xdr:xfrm>
          <a:graphic>
            <a:graphicData uri="http://schemas.microsoft.com/office/drawing/2010/slicer">
              <sle:slicer xmlns:sle="http://schemas.microsoft.com/office/drawing/2010/slicer" name="Type 1"/>
            </a:graphicData>
          </a:graphic>
        </xdr:graphicFrame>
      </mc:Choice>
      <mc:Fallback xmlns="">
        <xdr:sp macro="" textlink="">
          <xdr:nvSpPr>
            <xdr:cNvPr id="0" name=""/>
            <xdr:cNvSpPr>
              <a:spLocks noTextEdit="1"/>
            </xdr:cNvSpPr>
          </xdr:nvSpPr>
          <xdr:spPr>
            <a:xfrm>
              <a:off x="7953375" y="2962274"/>
              <a:ext cx="1790700" cy="27336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xdr:colOff>
      <xdr:row>15</xdr:row>
      <xdr:rowOff>119062</xdr:rowOff>
    </xdr:from>
    <xdr:to>
      <xdr:col>8</xdr:col>
      <xdr:colOff>161925</xdr:colOff>
      <xdr:row>30</xdr:row>
      <xdr:rowOff>0</xdr:rowOff>
    </xdr:to>
    <xdr:graphicFrame macro="">
      <xdr:nvGraphicFramePr>
        <xdr:cNvPr id="7" name="Chart 7">
          <a:extLst>
            <a:ext uri="{FF2B5EF4-FFF2-40B4-BE49-F238E27FC236}">
              <a16:creationId xmlns:a16="http://schemas.microsoft.com/office/drawing/2014/main" id="{05497539-4CB4-2B7C-7DC7-E6A971F5A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9525</xdr:colOff>
      <xdr:row>2</xdr:row>
      <xdr:rowOff>14287</xdr:rowOff>
    </xdr:from>
    <xdr:to>
      <xdr:col>10</xdr:col>
      <xdr:colOff>28575</xdr:colOff>
      <xdr:row>15</xdr:row>
      <xdr:rowOff>9525</xdr:rowOff>
    </xdr:to>
    <xdr:graphicFrame macro="">
      <xdr:nvGraphicFramePr>
        <xdr:cNvPr id="2" name="Chart 1">
          <a:extLst>
            <a:ext uri="{FF2B5EF4-FFF2-40B4-BE49-F238E27FC236}">
              <a16:creationId xmlns:a16="http://schemas.microsoft.com/office/drawing/2014/main" id="{60CB09DF-3AD4-C22F-3A8E-8BB6990CD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14287</xdr:colOff>
      <xdr:row>1</xdr:row>
      <xdr:rowOff>185738</xdr:rowOff>
    </xdr:from>
    <xdr:to>
      <xdr:col>10</xdr:col>
      <xdr:colOff>600075</xdr:colOff>
      <xdr:row>15</xdr:row>
      <xdr:rowOff>19050</xdr:rowOff>
    </xdr:to>
    <xdr:graphicFrame macro="">
      <xdr:nvGraphicFramePr>
        <xdr:cNvPr id="3" name="Chart 2">
          <a:extLst>
            <a:ext uri="{FF2B5EF4-FFF2-40B4-BE49-F238E27FC236}">
              <a16:creationId xmlns:a16="http://schemas.microsoft.com/office/drawing/2014/main" id="{5D177962-94DD-2E0F-4FED-CCF13125C6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600075</xdr:colOff>
      <xdr:row>2</xdr:row>
      <xdr:rowOff>14287</xdr:rowOff>
    </xdr:from>
    <xdr:to>
      <xdr:col>12</xdr:col>
      <xdr:colOff>19051</xdr:colOff>
      <xdr:row>14</xdr:row>
      <xdr:rowOff>180975</xdr:rowOff>
    </xdr:to>
    <xdr:graphicFrame macro="">
      <xdr:nvGraphicFramePr>
        <xdr:cNvPr id="2" name="Chart 1">
          <a:extLst>
            <a:ext uri="{FF2B5EF4-FFF2-40B4-BE49-F238E27FC236}">
              <a16:creationId xmlns:a16="http://schemas.microsoft.com/office/drawing/2014/main" id="{1B6BAA21-B8DE-D1DB-C3B3-99DEFB8706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600075</xdr:colOff>
      <xdr:row>1</xdr:row>
      <xdr:rowOff>185737</xdr:rowOff>
    </xdr:from>
    <xdr:to>
      <xdr:col>13</xdr:col>
      <xdr:colOff>0</xdr:colOff>
      <xdr:row>16</xdr:row>
      <xdr:rowOff>180975</xdr:rowOff>
    </xdr:to>
    <xdr:graphicFrame macro="">
      <xdr:nvGraphicFramePr>
        <xdr:cNvPr id="3" name="Chart 2">
          <a:extLst>
            <a:ext uri="{FF2B5EF4-FFF2-40B4-BE49-F238E27FC236}">
              <a16:creationId xmlns:a16="http://schemas.microsoft.com/office/drawing/2014/main" id="{E4AFAEF6-B7F2-C70A-31E4-069E2ABAB4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1466850</xdr:colOff>
      <xdr:row>1</xdr:row>
      <xdr:rowOff>185737</xdr:rowOff>
    </xdr:from>
    <xdr:to>
      <xdr:col>14</xdr:col>
      <xdr:colOff>266700</xdr:colOff>
      <xdr:row>17</xdr:row>
      <xdr:rowOff>180975</xdr:rowOff>
    </xdr:to>
    <xdr:graphicFrame macro="">
      <xdr:nvGraphicFramePr>
        <xdr:cNvPr id="3" name="Chart 2">
          <a:extLst>
            <a:ext uri="{FF2B5EF4-FFF2-40B4-BE49-F238E27FC236}">
              <a16:creationId xmlns:a16="http://schemas.microsoft.com/office/drawing/2014/main" id="{633CBBB1-15C6-00D4-15DF-F204AFCBA37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11</xdr:col>
      <xdr:colOff>0</xdr:colOff>
      <xdr:row>1</xdr:row>
      <xdr:rowOff>176212</xdr:rowOff>
    </xdr:from>
    <xdr:to>
      <xdr:col>23</xdr:col>
      <xdr:colOff>47625</xdr:colOff>
      <xdr:row>17</xdr:row>
      <xdr:rowOff>180976</xdr:rowOff>
    </xdr:to>
    <xdr:graphicFrame macro="">
      <xdr:nvGraphicFramePr>
        <xdr:cNvPr id="4" name="Chart 3">
          <a:extLst>
            <a:ext uri="{FF2B5EF4-FFF2-40B4-BE49-F238E27FC236}">
              <a16:creationId xmlns:a16="http://schemas.microsoft.com/office/drawing/2014/main" id="{0FC3ED09-4B8D-8904-6868-C38749F619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0</xdr:colOff>
      <xdr:row>2</xdr:row>
      <xdr:rowOff>14287</xdr:rowOff>
    </xdr:from>
    <xdr:to>
      <xdr:col>7</xdr:col>
      <xdr:colOff>0</xdr:colOff>
      <xdr:row>10</xdr:row>
      <xdr:rowOff>19050</xdr:rowOff>
    </xdr:to>
    <xdr:graphicFrame macro="">
      <xdr:nvGraphicFramePr>
        <xdr:cNvPr id="2" name="Chart 1">
          <a:extLst>
            <a:ext uri="{FF2B5EF4-FFF2-40B4-BE49-F238E27FC236}">
              <a16:creationId xmlns:a16="http://schemas.microsoft.com/office/drawing/2014/main" id="{691681C9-072B-F62B-D167-DC9EFDE68C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9525</xdr:colOff>
      <xdr:row>2</xdr:row>
      <xdr:rowOff>14287</xdr:rowOff>
    </xdr:from>
    <xdr:to>
      <xdr:col>9</xdr:col>
      <xdr:colOff>0</xdr:colOff>
      <xdr:row>15</xdr:row>
      <xdr:rowOff>9525</xdr:rowOff>
    </xdr:to>
    <xdr:graphicFrame macro="">
      <xdr:nvGraphicFramePr>
        <xdr:cNvPr id="2" name="Chart 1">
          <a:extLst>
            <a:ext uri="{FF2B5EF4-FFF2-40B4-BE49-F238E27FC236}">
              <a16:creationId xmlns:a16="http://schemas.microsoft.com/office/drawing/2014/main" id="{184F68F3-4A43-1448-D272-7A64354478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8</xdr:col>
      <xdr:colOff>9525</xdr:colOff>
      <xdr:row>2</xdr:row>
      <xdr:rowOff>14287</xdr:rowOff>
    </xdr:from>
    <xdr:to>
      <xdr:col>13</xdr:col>
      <xdr:colOff>600075</xdr:colOff>
      <xdr:row>17</xdr:row>
      <xdr:rowOff>28575</xdr:rowOff>
    </xdr:to>
    <mc:AlternateContent xmlns:mc="http://schemas.openxmlformats.org/markup-compatibility/2006">
      <mc:Choice xmlns:cx4="http://schemas.microsoft.com/office/drawing/2016/5/10/chartex" Requires="cx4">
        <xdr:graphicFrame macro="">
          <xdr:nvGraphicFramePr>
            <xdr:cNvPr id="4" name="Chart 3">
              <a:extLst>
                <a:ext uri="{FF2B5EF4-FFF2-40B4-BE49-F238E27FC236}">
                  <a16:creationId xmlns:a16="http://schemas.microsoft.com/office/drawing/2014/main" id="{D5EE161B-D5D7-E05F-A88F-4B44ACC2972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162675" y="395287"/>
              <a:ext cx="3638550" cy="287178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17.xml><?xml version="1.0" encoding="utf-8"?>
<xdr:wsDr xmlns:xdr="http://schemas.openxmlformats.org/drawingml/2006/spreadsheetDrawing" xmlns:a="http://schemas.openxmlformats.org/drawingml/2006/main">
  <xdr:twoCellAnchor>
    <xdr:from>
      <xdr:col>4</xdr:col>
      <xdr:colOff>9525</xdr:colOff>
      <xdr:row>2</xdr:row>
      <xdr:rowOff>4762</xdr:rowOff>
    </xdr:from>
    <xdr:to>
      <xdr:col>10</xdr:col>
      <xdr:colOff>0</xdr:colOff>
      <xdr:row>15</xdr:row>
      <xdr:rowOff>0</xdr:rowOff>
    </xdr:to>
    <xdr:graphicFrame macro="">
      <xdr:nvGraphicFramePr>
        <xdr:cNvPr id="2" name="Chart 1">
          <a:extLst>
            <a:ext uri="{FF2B5EF4-FFF2-40B4-BE49-F238E27FC236}">
              <a16:creationId xmlns:a16="http://schemas.microsoft.com/office/drawing/2014/main" id="{57D4C9B9-7DC6-C040-85D2-209F5FC689F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0</xdr:colOff>
      <xdr:row>2</xdr:row>
      <xdr:rowOff>4762</xdr:rowOff>
    </xdr:from>
    <xdr:to>
      <xdr:col>6</xdr:col>
      <xdr:colOff>600075</xdr:colOff>
      <xdr:row>9</xdr:row>
      <xdr:rowOff>0</xdr:rowOff>
    </xdr:to>
    <xdr:graphicFrame macro="">
      <xdr:nvGraphicFramePr>
        <xdr:cNvPr id="2" name="Chart 1">
          <a:extLst>
            <a:ext uri="{FF2B5EF4-FFF2-40B4-BE49-F238E27FC236}">
              <a16:creationId xmlns:a16="http://schemas.microsoft.com/office/drawing/2014/main" id="{84F1F05D-3E54-C401-FAA8-31F3476AEE8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2</xdr:col>
      <xdr:colOff>609599</xdr:colOff>
      <xdr:row>1</xdr:row>
      <xdr:rowOff>185737</xdr:rowOff>
    </xdr:from>
    <xdr:to>
      <xdr:col>11</xdr:col>
      <xdr:colOff>590550</xdr:colOff>
      <xdr:row>11</xdr:row>
      <xdr:rowOff>180975</xdr:rowOff>
    </xdr:to>
    <xdr:graphicFrame macro="">
      <xdr:nvGraphicFramePr>
        <xdr:cNvPr id="2" name="Chart 1">
          <a:extLst>
            <a:ext uri="{FF2B5EF4-FFF2-40B4-BE49-F238E27FC236}">
              <a16:creationId xmlns:a16="http://schemas.microsoft.com/office/drawing/2014/main" id="{A4992A65-39AF-CE5F-498F-42C186380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bil" refreshedDate="45751.608068287038" createdVersion="8" refreshedVersion="8" minRefreshableVersion="3" recordCount="20" xr:uid="{320EB5E1-62D5-4FC1-B871-BF5057B9F4D4}">
  <cacheSource type="worksheet">
    <worksheetSource ref="A1:E21" sheet="Table 1"/>
  </cacheSource>
  <cacheFields count="5">
    <cacheField name="Year" numFmtId="0">
      <sharedItems containsSemiMixedTypes="0" containsString="0" containsNumber="1" containsInteger="1" minValue="2017" maxValue="2021" count="5">
        <n v="2019"/>
        <n v="2020"/>
        <n v="2021"/>
        <n v="2017"/>
        <n v="2018"/>
      </sharedItems>
    </cacheField>
    <cacheField name="Car" numFmtId="0">
      <sharedItems count="8">
        <s v="Suzuki"/>
        <s v="Hyundai"/>
        <s v="Nissan"/>
        <s v="BMW"/>
        <s v="Ford"/>
        <s v="Ferrari"/>
        <s v="Mercedes"/>
        <s v="Lamborghini"/>
      </sharedItems>
    </cacheField>
    <cacheField name="Type" numFmtId="0">
      <sharedItems count="6">
        <s v="Coupe"/>
        <s v="Hatch-Back"/>
        <s v="Cruiser"/>
        <s v="GT"/>
        <s v="SUV"/>
        <s v="Sports"/>
      </sharedItems>
    </cacheField>
    <cacheField name="Quantity" numFmtId="0">
      <sharedItems containsSemiMixedTypes="0" containsString="0" containsNumber="1" containsInteger="1" minValue="1" maxValue="7"/>
    </cacheField>
    <cacheField name="Price" numFmtId="0">
      <sharedItems containsSemiMixedTypes="0" containsString="0" containsNumber="1" containsInteger="1" minValue="35000" maxValue="350000"/>
    </cacheField>
  </cacheFields>
  <extLst>
    <ext xmlns:x14="http://schemas.microsoft.com/office/spreadsheetml/2009/9/main" uri="{725AE2AE-9491-48be-B2B4-4EB974FC3084}">
      <x14:pivotCacheDefinition pivotCacheId="140915148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bil" refreshedDate="45753.311240625" createdVersion="8" refreshedVersion="8" minRefreshableVersion="3" recordCount="640" xr:uid="{C0437835-F174-42B5-8EC9-7072CB0A678C}">
  <cacheSource type="worksheet">
    <worksheetSource ref="A1:G641" sheet="Dashboard Data"/>
  </cacheSource>
  <cacheFields count="7">
    <cacheField name="Year" numFmtId="0">
      <sharedItems containsSemiMixedTypes="0" containsString="0" containsNumber="1" containsInteger="1" minValue="2020" maxValue="2024" count="5">
        <n v="2020"/>
        <n v="2021"/>
        <n v="2022"/>
        <n v="2023"/>
        <n v="2024"/>
      </sharedItems>
    </cacheField>
    <cacheField name="Division" numFmtId="0">
      <sharedItems count="8">
        <s v="Dhaka"/>
        <s v="Chattogram"/>
        <s v="Khulna"/>
        <s v="Rajshahi"/>
        <s v="Barisal"/>
        <s v="Sylhet"/>
        <s v="Rangpur"/>
        <s v="Mymensingh"/>
      </sharedItems>
    </cacheField>
    <cacheField name="Product Type" numFmtId="0">
      <sharedItems count="8">
        <s v="Smartphones"/>
        <s v="TVs"/>
        <s v="Refrigerators"/>
        <s v="Washing Machines"/>
        <s v="ACs"/>
        <s v="Monitors"/>
        <s v="Tablets"/>
        <s v="Wearables"/>
      </sharedItems>
    </cacheField>
    <cacheField name="Order Method" numFmtId="0">
      <sharedItems count="2">
        <s v="Online"/>
        <s v="Offline"/>
      </sharedItems>
    </cacheField>
    <cacheField name="Cost (BDT Cr)" numFmtId="0">
      <sharedItems containsSemiMixedTypes="0" containsString="0" containsNumber="1" containsInteger="1" minValue="40" maxValue="260"/>
    </cacheField>
    <cacheField name="Profit (BDT Cr)" numFmtId="0">
      <sharedItems containsSemiMixedTypes="0" containsString="0" containsNumber="1" containsInteger="1" minValue="10" maxValue="110"/>
    </cacheField>
    <cacheField name="Revenue (BDT Cr)" numFmtId="0">
      <sharedItems containsSemiMixedTypes="0" containsString="0" containsNumber="1" containsInteger="1" minValue="54" maxValue="361" count="244">
        <n v="123"/>
        <n v="124"/>
        <n v="216"/>
        <n v="185"/>
        <n v="118"/>
        <n v="212"/>
        <n v="330"/>
        <n v="213"/>
        <n v="215"/>
        <n v="290"/>
        <n v="245"/>
        <n v="296"/>
        <n v="94"/>
        <n v="205"/>
        <n v="327"/>
        <n v="174"/>
        <n v="294"/>
        <n v="145"/>
        <n v="188"/>
        <n v="217"/>
        <n v="137"/>
        <n v="207"/>
        <n v="301"/>
        <n v="160"/>
        <n v="121"/>
        <n v="230"/>
        <n v="161"/>
        <n v="158"/>
        <n v="186"/>
        <n v="293"/>
        <n v="221"/>
        <n v="141"/>
        <n v="277"/>
        <n v="112"/>
        <n v="259"/>
        <n v="240"/>
        <n v="194"/>
        <n v="243"/>
        <n v="159"/>
        <n v="191"/>
        <n v="179"/>
        <n v="289"/>
        <n v="360"/>
        <n v="146"/>
        <n v="196"/>
        <n v="234"/>
        <n v="282"/>
        <n v="281"/>
        <n v="273"/>
        <n v="163"/>
        <n v="231"/>
        <n v="318"/>
        <n v="109"/>
        <n v="166"/>
        <n v="180"/>
        <n v="218"/>
        <n v="238"/>
        <n v="210"/>
        <n v="169"/>
        <n v="147"/>
        <n v="183"/>
        <n v="316"/>
        <n v="111"/>
        <n v="178"/>
        <n v="291"/>
        <n v="302"/>
        <n v="279"/>
        <n v="340"/>
        <n v="84"/>
        <n v="250"/>
        <n v="331"/>
        <n v="96"/>
        <n v="198"/>
        <n v="283"/>
        <n v="246"/>
        <n v="274"/>
        <n v="247"/>
        <n v="184"/>
        <n v="74"/>
        <n v="122"/>
        <n v="165"/>
        <n v="332"/>
        <n v="333"/>
        <n v="244"/>
        <n v="154"/>
        <n v="142"/>
        <n v="144"/>
        <n v="208"/>
        <n v="237"/>
        <n v="320"/>
        <n v="150"/>
        <n v="310"/>
        <n v="308"/>
        <n v="148"/>
        <n v="278"/>
        <n v="307"/>
        <n v="228"/>
        <n v="200"/>
        <n v="108"/>
        <n v="175"/>
        <n v="117"/>
        <n v="164"/>
        <n v="329"/>
        <n v="97"/>
        <n v="199"/>
        <n v="345"/>
        <n v="257"/>
        <n v="309"/>
        <n v="280"/>
        <n v="151"/>
        <n v="313"/>
        <n v="252"/>
        <n v="311"/>
        <n v="138"/>
        <n v="190"/>
        <n v="226"/>
        <n v="90"/>
        <n v="162"/>
        <n v="120"/>
        <n v="206"/>
        <n v="235"/>
        <n v="156"/>
        <n v="292"/>
        <n v="132"/>
        <n v="201"/>
        <n v="348"/>
        <n v="251"/>
        <n v="266"/>
        <n v="193"/>
        <n v="263"/>
        <n v="209"/>
        <n v="344"/>
        <n v="288"/>
        <n v="225"/>
        <n v="101"/>
        <n v="130"/>
        <n v="233"/>
        <n v="321"/>
        <n v="119"/>
        <n v="287"/>
        <n v="239"/>
        <n v="328"/>
        <n v="129"/>
        <n v="65"/>
        <n v="242"/>
        <n v="100"/>
        <n v="314"/>
        <n v="91"/>
        <n v="223"/>
        <n v="276"/>
        <n v="261"/>
        <n v="93"/>
        <n v="271"/>
        <n v="255"/>
        <n v="89"/>
        <n v="354"/>
        <n v="285"/>
        <n v="272"/>
        <n v="155"/>
        <n v="102"/>
        <n v="335"/>
        <n v="336"/>
        <n v="222"/>
        <n v="350"/>
        <n v="139"/>
        <n v="262"/>
        <n v="219"/>
        <n v="85"/>
        <n v="197"/>
        <n v="202"/>
        <n v="61"/>
        <n v="275"/>
        <n v="60"/>
        <n v="236"/>
        <n v="170"/>
        <n v="214"/>
        <n v="220"/>
        <n v="342"/>
        <n v="173"/>
        <n v="187"/>
        <n v="305"/>
        <n v="157"/>
        <n v="204"/>
        <n v="203"/>
        <n v="113"/>
        <n v="182"/>
        <n v="295"/>
        <n v="286"/>
        <n v="99"/>
        <n v="297"/>
        <n v="253"/>
        <n v="176"/>
        <n v="355"/>
        <n v="229"/>
        <n v="134"/>
        <n v="256"/>
        <n v="269"/>
        <n v="260"/>
        <n v="54"/>
        <n v="153"/>
        <n v="254"/>
        <n v="258"/>
        <n v="304"/>
        <n v="326"/>
        <n v="267"/>
        <n v="87"/>
        <n v="167"/>
        <n v="312"/>
        <n v="361"/>
        <n v="227"/>
        <n v="357"/>
        <n v="264"/>
        <n v="298"/>
        <n v="149"/>
        <n v="268"/>
        <n v="270"/>
        <n v="349"/>
        <n v="136"/>
        <n v="110"/>
        <n v="177"/>
        <n v="241"/>
        <n v="125"/>
        <n v="76"/>
        <n v="347"/>
        <n v="133"/>
        <n v="140"/>
        <n v="265"/>
        <n v="86"/>
        <n v="181"/>
        <n v="248"/>
        <n v="195"/>
        <n v="171"/>
        <n v="114"/>
        <n v="128"/>
        <n v="98"/>
        <n v="168"/>
        <n v="56"/>
        <n v="116"/>
        <n v="284"/>
        <n v="192"/>
        <n v="339"/>
        <n v="127"/>
        <n v="232"/>
        <n v="106"/>
      </sharedItems>
    </cacheField>
  </cacheFields>
  <extLst>
    <ext xmlns:x14="http://schemas.microsoft.com/office/spreadsheetml/2009/9/main" uri="{725AE2AE-9491-48be-B2B4-4EB974FC3084}">
      <x14:pivotCacheDefinition pivotCacheId="46975710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
  <r>
    <x v="0"/>
    <x v="0"/>
    <x v="0"/>
    <n v="3"/>
    <n v="35000"/>
  </r>
  <r>
    <x v="0"/>
    <x v="1"/>
    <x v="1"/>
    <n v="5"/>
    <n v="85000"/>
  </r>
  <r>
    <x v="1"/>
    <x v="2"/>
    <x v="2"/>
    <n v="6"/>
    <n v="150000"/>
  </r>
  <r>
    <x v="1"/>
    <x v="3"/>
    <x v="3"/>
    <n v="4"/>
    <n v="85000"/>
  </r>
  <r>
    <x v="2"/>
    <x v="4"/>
    <x v="4"/>
    <n v="2"/>
    <n v="50000"/>
  </r>
  <r>
    <x v="2"/>
    <x v="5"/>
    <x v="5"/>
    <n v="5"/>
    <n v="125000"/>
  </r>
  <r>
    <x v="3"/>
    <x v="6"/>
    <x v="3"/>
    <n v="1"/>
    <n v="120000"/>
  </r>
  <r>
    <x v="3"/>
    <x v="7"/>
    <x v="5"/>
    <n v="4"/>
    <n v="250000"/>
  </r>
  <r>
    <x v="4"/>
    <x v="1"/>
    <x v="0"/>
    <n v="5"/>
    <n v="40000"/>
  </r>
  <r>
    <x v="4"/>
    <x v="2"/>
    <x v="3"/>
    <n v="4"/>
    <n v="220000"/>
  </r>
  <r>
    <x v="0"/>
    <x v="3"/>
    <x v="5"/>
    <n v="7"/>
    <n v="120000"/>
  </r>
  <r>
    <x v="0"/>
    <x v="4"/>
    <x v="1"/>
    <n v="3"/>
    <n v="35000"/>
  </r>
  <r>
    <x v="1"/>
    <x v="5"/>
    <x v="5"/>
    <n v="4"/>
    <n v="300000"/>
  </r>
  <r>
    <x v="1"/>
    <x v="5"/>
    <x v="5"/>
    <n v="3"/>
    <n v="250000"/>
  </r>
  <r>
    <x v="2"/>
    <x v="6"/>
    <x v="5"/>
    <n v="4"/>
    <n v="170000"/>
  </r>
  <r>
    <x v="2"/>
    <x v="7"/>
    <x v="4"/>
    <n v="2"/>
    <n v="350000"/>
  </r>
  <r>
    <x v="3"/>
    <x v="1"/>
    <x v="4"/>
    <n v="1"/>
    <n v="80000"/>
  </r>
  <r>
    <x v="3"/>
    <x v="7"/>
    <x v="4"/>
    <n v="4"/>
    <n v="250000"/>
  </r>
  <r>
    <x v="4"/>
    <x v="3"/>
    <x v="4"/>
    <n v="2"/>
    <n v="150000"/>
  </r>
  <r>
    <x v="4"/>
    <x v="4"/>
    <x v="3"/>
    <n v="4"/>
    <n v="350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40">
  <r>
    <x v="0"/>
    <x v="0"/>
    <x v="0"/>
    <x v="0"/>
    <n v="113"/>
    <n v="10"/>
    <x v="0"/>
  </r>
  <r>
    <x v="0"/>
    <x v="0"/>
    <x v="0"/>
    <x v="1"/>
    <n v="57"/>
    <n v="67"/>
    <x v="1"/>
  </r>
  <r>
    <x v="0"/>
    <x v="0"/>
    <x v="1"/>
    <x v="0"/>
    <n v="161"/>
    <n v="55"/>
    <x v="2"/>
  </r>
  <r>
    <x v="0"/>
    <x v="0"/>
    <x v="1"/>
    <x v="1"/>
    <n v="113"/>
    <n v="72"/>
    <x v="3"/>
  </r>
  <r>
    <x v="0"/>
    <x v="0"/>
    <x v="2"/>
    <x v="0"/>
    <n v="93"/>
    <n v="25"/>
    <x v="4"/>
  </r>
  <r>
    <x v="0"/>
    <x v="0"/>
    <x v="2"/>
    <x v="1"/>
    <n v="110"/>
    <n v="102"/>
    <x v="5"/>
  </r>
  <r>
    <x v="0"/>
    <x v="0"/>
    <x v="3"/>
    <x v="0"/>
    <n v="252"/>
    <n v="78"/>
    <x v="6"/>
  </r>
  <r>
    <x v="0"/>
    <x v="0"/>
    <x v="3"/>
    <x v="1"/>
    <n v="125"/>
    <n v="88"/>
    <x v="7"/>
  </r>
  <r>
    <x v="0"/>
    <x v="0"/>
    <x v="4"/>
    <x v="0"/>
    <n v="191"/>
    <n v="24"/>
    <x v="8"/>
  </r>
  <r>
    <x v="0"/>
    <x v="0"/>
    <x v="4"/>
    <x v="1"/>
    <n v="238"/>
    <n v="52"/>
    <x v="9"/>
  </r>
  <r>
    <x v="0"/>
    <x v="0"/>
    <x v="5"/>
    <x v="0"/>
    <n v="202"/>
    <n v="43"/>
    <x v="10"/>
  </r>
  <r>
    <x v="0"/>
    <x v="0"/>
    <x v="5"/>
    <x v="1"/>
    <n v="222"/>
    <n v="74"/>
    <x v="11"/>
  </r>
  <r>
    <x v="0"/>
    <x v="0"/>
    <x v="6"/>
    <x v="0"/>
    <n v="59"/>
    <n v="35"/>
    <x v="12"/>
  </r>
  <r>
    <x v="0"/>
    <x v="0"/>
    <x v="6"/>
    <x v="1"/>
    <n v="160"/>
    <n v="45"/>
    <x v="13"/>
  </r>
  <r>
    <x v="0"/>
    <x v="0"/>
    <x v="7"/>
    <x v="0"/>
    <n v="227"/>
    <n v="100"/>
    <x v="14"/>
  </r>
  <r>
    <x v="0"/>
    <x v="0"/>
    <x v="7"/>
    <x v="1"/>
    <n v="135"/>
    <n v="39"/>
    <x v="15"/>
  </r>
  <r>
    <x v="0"/>
    <x v="1"/>
    <x v="0"/>
    <x v="0"/>
    <n v="233"/>
    <n v="61"/>
    <x v="16"/>
  </r>
  <r>
    <x v="0"/>
    <x v="1"/>
    <x v="0"/>
    <x v="1"/>
    <n v="59"/>
    <n v="86"/>
    <x v="17"/>
  </r>
  <r>
    <x v="0"/>
    <x v="1"/>
    <x v="1"/>
    <x v="0"/>
    <n v="115"/>
    <n v="73"/>
    <x v="18"/>
  </r>
  <r>
    <x v="0"/>
    <x v="1"/>
    <x v="1"/>
    <x v="1"/>
    <n v="160"/>
    <n v="57"/>
    <x v="19"/>
  </r>
  <r>
    <x v="0"/>
    <x v="1"/>
    <x v="2"/>
    <x v="0"/>
    <n v="56"/>
    <n v="81"/>
    <x v="20"/>
  </r>
  <r>
    <x v="0"/>
    <x v="1"/>
    <x v="2"/>
    <x v="1"/>
    <n v="157"/>
    <n v="50"/>
    <x v="21"/>
  </r>
  <r>
    <x v="0"/>
    <x v="1"/>
    <x v="3"/>
    <x v="0"/>
    <n v="239"/>
    <n v="62"/>
    <x v="22"/>
  </r>
  <r>
    <x v="0"/>
    <x v="1"/>
    <x v="3"/>
    <x v="1"/>
    <n v="110"/>
    <n v="50"/>
    <x v="23"/>
  </r>
  <r>
    <x v="0"/>
    <x v="1"/>
    <x v="4"/>
    <x v="0"/>
    <n v="143"/>
    <n v="70"/>
    <x v="7"/>
  </r>
  <r>
    <x v="0"/>
    <x v="1"/>
    <x v="4"/>
    <x v="1"/>
    <n v="65"/>
    <n v="56"/>
    <x v="24"/>
  </r>
  <r>
    <x v="0"/>
    <x v="1"/>
    <x v="5"/>
    <x v="0"/>
    <n v="187"/>
    <n v="30"/>
    <x v="19"/>
  </r>
  <r>
    <x v="0"/>
    <x v="1"/>
    <x v="5"/>
    <x v="1"/>
    <n v="158"/>
    <n v="72"/>
    <x v="25"/>
  </r>
  <r>
    <x v="0"/>
    <x v="1"/>
    <x v="6"/>
    <x v="0"/>
    <n v="132"/>
    <n v="29"/>
    <x v="26"/>
  </r>
  <r>
    <x v="0"/>
    <x v="1"/>
    <x v="6"/>
    <x v="1"/>
    <n v="87"/>
    <n v="71"/>
    <x v="27"/>
  </r>
  <r>
    <x v="0"/>
    <x v="1"/>
    <x v="7"/>
    <x v="0"/>
    <n v="156"/>
    <n v="30"/>
    <x v="28"/>
  </r>
  <r>
    <x v="0"/>
    <x v="1"/>
    <x v="7"/>
    <x v="1"/>
    <n v="221"/>
    <n v="80"/>
    <x v="22"/>
  </r>
  <r>
    <x v="0"/>
    <x v="2"/>
    <x v="0"/>
    <x v="0"/>
    <n v="243"/>
    <n v="50"/>
    <x v="29"/>
  </r>
  <r>
    <x v="0"/>
    <x v="2"/>
    <x v="0"/>
    <x v="1"/>
    <n v="206"/>
    <n v="15"/>
    <x v="30"/>
  </r>
  <r>
    <x v="0"/>
    <x v="2"/>
    <x v="1"/>
    <x v="0"/>
    <n v="54"/>
    <n v="87"/>
    <x v="31"/>
  </r>
  <r>
    <x v="0"/>
    <x v="2"/>
    <x v="1"/>
    <x v="1"/>
    <n v="182"/>
    <n v="95"/>
    <x v="32"/>
  </r>
  <r>
    <x v="0"/>
    <x v="2"/>
    <x v="2"/>
    <x v="0"/>
    <n v="94"/>
    <n v="18"/>
    <x v="33"/>
  </r>
  <r>
    <x v="0"/>
    <x v="2"/>
    <x v="2"/>
    <x v="1"/>
    <n v="78"/>
    <n v="83"/>
    <x v="26"/>
  </r>
  <r>
    <x v="0"/>
    <x v="2"/>
    <x v="3"/>
    <x v="0"/>
    <n v="219"/>
    <n v="40"/>
    <x v="34"/>
  </r>
  <r>
    <x v="0"/>
    <x v="2"/>
    <x v="3"/>
    <x v="1"/>
    <n v="210"/>
    <n v="30"/>
    <x v="35"/>
  </r>
  <r>
    <x v="0"/>
    <x v="2"/>
    <x v="4"/>
    <x v="0"/>
    <n v="178"/>
    <n v="16"/>
    <x v="36"/>
  </r>
  <r>
    <x v="0"/>
    <x v="2"/>
    <x v="4"/>
    <x v="1"/>
    <n v="190"/>
    <n v="53"/>
    <x v="37"/>
  </r>
  <r>
    <x v="0"/>
    <x v="2"/>
    <x v="5"/>
    <x v="0"/>
    <n v="98"/>
    <n v="61"/>
    <x v="38"/>
  </r>
  <r>
    <x v="0"/>
    <x v="2"/>
    <x v="5"/>
    <x v="1"/>
    <n v="164"/>
    <n v="27"/>
    <x v="39"/>
  </r>
  <r>
    <x v="0"/>
    <x v="2"/>
    <x v="6"/>
    <x v="0"/>
    <n v="99"/>
    <n v="80"/>
    <x v="40"/>
  </r>
  <r>
    <x v="0"/>
    <x v="2"/>
    <x v="6"/>
    <x v="1"/>
    <n v="180"/>
    <n v="109"/>
    <x v="41"/>
  </r>
  <r>
    <x v="0"/>
    <x v="2"/>
    <x v="7"/>
    <x v="0"/>
    <n v="259"/>
    <n v="101"/>
    <x v="42"/>
  </r>
  <r>
    <x v="0"/>
    <x v="2"/>
    <x v="7"/>
    <x v="1"/>
    <n v="114"/>
    <n v="32"/>
    <x v="43"/>
  </r>
  <r>
    <x v="0"/>
    <x v="3"/>
    <x v="0"/>
    <x v="0"/>
    <n v="173"/>
    <n v="23"/>
    <x v="44"/>
  </r>
  <r>
    <x v="0"/>
    <x v="3"/>
    <x v="0"/>
    <x v="1"/>
    <n v="219"/>
    <n v="15"/>
    <x v="45"/>
  </r>
  <r>
    <x v="0"/>
    <x v="3"/>
    <x v="1"/>
    <x v="0"/>
    <n v="213"/>
    <n v="69"/>
    <x v="46"/>
  </r>
  <r>
    <x v="0"/>
    <x v="3"/>
    <x v="1"/>
    <x v="1"/>
    <n v="252"/>
    <n v="29"/>
    <x v="47"/>
  </r>
  <r>
    <x v="0"/>
    <x v="3"/>
    <x v="2"/>
    <x v="0"/>
    <n v="90"/>
    <n v="31"/>
    <x v="24"/>
  </r>
  <r>
    <x v="0"/>
    <x v="3"/>
    <x v="2"/>
    <x v="1"/>
    <n v="221"/>
    <n v="52"/>
    <x v="48"/>
  </r>
  <r>
    <x v="0"/>
    <x v="3"/>
    <x v="3"/>
    <x v="0"/>
    <n v="125"/>
    <n v="38"/>
    <x v="49"/>
  </r>
  <r>
    <x v="0"/>
    <x v="3"/>
    <x v="3"/>
    <x v="1"/>
    <n v="82"/>
    <n v="92"/>
    <x v="15"/>
  </r>
  <r>
    <x v="0"/>
    <x v="3"/>
    <x v="4"/>
    <x v="0"/>
    <n v="175"/>
    <n v="56"/>
    <x v="50"/>
  </r>
  <r>
    <x v="0"/>
    <x v="3"/>
    <x v="4"/>
    <x v="1"/>
    <n v="188"/>
    <n v="94"/>
    <x v="46"/>
  </r>
  <r>
    <x v="0"/>
    <x v="3"/>
    <x v="5"/>
    <x v="0"/>
    <n v="253"/>
    <n v="65"/>
    <x v="51"/>
  </r>
  <r>
    <x v="0"/>
    <x v="3"/>
    <x v="5"/>
    <x v="1"/>
    <n v="42"/>
    <n v="67"/>
    <x v="52"/>
  </r>
  <r>
    <x v="0"/>
    <x v="3"/>
    <x v="6"/>
    <x v="0"/>
    <n v="85"/>
    <n v="81"/>
    <x v="53"/>
  </r>
  <r>
    <x v="0"/>
    <x v="3"/>
    <x v="6"/>
    <x v="1"/>
    <n v="140"/>
    <n v="48"/>
    <x v="18"/>
  </r>
  <r>
    <x v="0"/>
    <x v="3"/>
    <x v="7"/>
    <x v="0"/>
    <n v="97"/>
    <n v="83"/>
    <x v="54"/>
  </r>
  <r>
    <x v="0"/>
    <x v="3"/>
    <x v="7"/>
    <x v="1"/>
    <n v="201"/>
    <n v="17"/>
    <x v="55"/>
  </r>
  <r>
    <x v="0"/>
    <x v="4"/>
    <x v="0"/>
    <x v="0"/>
    <n v="99"/>
    <n v="10"/>
    <x v="52"/>
  </r>
  <r>
    <x v="0"/>
    <x v="4"/>
    <x v="0"/>
    <x v="1"/>
    <n v="191"/>
    <n v="110"/>
    <x v="22"/>
  </r>
  <r>
    <x v="0"/>
    <x v="4"/>
    <x v="1"/>
    <x v="0"/>
    <n v="137"/>
    <n v="101"/>
    <x v="56"/>
  </r>
  <r>
    <x v="0"/>
    <x v="4"/>
    <x v="1"/>
    <x v="1"/>
    <n v="110"/>
    <n v="100"/>
    <x v="57"/>
  </r>
  <r>
    <x v="0"/>
    <x v="4"/>
    <x v="2"/>
    <x v="0"/>
    <n v="243"/>
    <n v="34"/>
    <x v="32"/>
  </r>
  <r>
    <x v="0"/>
    <x v="4"/>
    <x v="2"/>
    <x v="1"/>
    <n v="147"/>
    <n v="22"/>
    <x v="58"/>
  </r>
  <r>
    <x v="0"/>
    <x v="4"/>
    <x v="3"/>
    <x v="0"/>
    <n v="95"/>
    <n v="52"/>
    <x v="59"/>
  </r>
  <r>
    <x v="0"/>
    <x v="4"/>
    <x v="3"/>
    <x v="1"/>
    <n v="135"/>
    <n v="48"/>
    <x v="60"/>
  </r>
  <r>
    <x v="0"/>
    <x v="4"/>
    <x v="4"/>
    <x v="0"/>
    <n v="183"/>
    <n v="30"/>
    <x v="7"/>
  </r>
  <r>
    <x v="0"/>
    <x v="4"/>
    <x v="4"/>
    <x v="1"/>
    <n v="235"/>
    <n v="81"/>
    <x v="61"/>
  </r>
  <r>
    <x v="0"/>
    <x v="4"/>
    <x v="5"/>
    <x v="0"/>
    <n v="142"/>
    <n v="49"/>
    <x v="39"/>
  </r>
  <r>
    <x v="0"/>
    <x v="4"/>
    <x v="5"/>
    <x v="1"/>
    <n v="66"/>
    <n v="45"/>
    <x v="62"/>
  </r>
  <r>
    <x v="0"/>
    <x v="4"/>
    <x v="6"/>
    <x v="0"/>
    <n v="124"/>
    <n v="54"/>
    <x v="63"/>
  </r>
  <r>
    <x v="0"/>
    <x v="4"/>
    <x v="6"/>
    <x v="1"/>
    <n v="250"/>
    <n v="41"/>
    <x v="64"/>
  </r>
  <r>
    <x v="0"/>
    <x v="4"/>
    <x v="7"/>
    <x v="0"/>
    <n v="144"/>
    <n v="61"/>
    <x v="13"/>
  </r>
  <r>
    <x v="0"/>
    <x v="4"/>
    <x v="7"/>
    <x v="1"/>
    <n v="65"/>
    <n v="47"/>
    <x v="33"/>
  </r>
  <r>
    <x v="0"/>
    <x v="5"/>
    <x v="0"/>
    <x v="0"/>
    <n v="229"/>
    <n v="73"/>
    <x v="65"/>
  </r>
  <r>
    <x v="0"/>
    <x v="5"/>
    <x v="0"/>
    <x v="1"/>
    <n v="204"/>
    <n v="75"/>
    <x v="66"/>
  </r>
  <r>
    <x v="0"/>
    <x v="5"/>
    <x v="1"/>
    <x v="0"/>
    <n v="102"/>
    <n v="89"/>
    <x v="39"/>
  </r>
  <r>
    <x v="0"/>
    <x v="5"/>
    <x v="1"/>
    <x v="1"/>
    <n v="257"/>
    <n v="83"/>
    <x v="67"/>
  </r>
  <r>
    <x v="0"/>
    <x v="5"/>
    <x v="2"/>
    <x v="0"/>
    <n v="73"/>
    <n v="11"/>
    <x v="68"/>
  </r>
  <r>
    <x v="0"/>
    <x v="5"/>
    <x v="2"/>
    <x v="1"/>
    <n v="204"/>
    <n v="46"/>
    <x v="69"/>
  </r>
  <r>
    <x v="0"/>
    <x v="5"/>
    <x v="3"/>
    <x v="0"/>
    <n v="234"/>
    <n v="97"/>
    <x v="70"/>
  </r>
  <r>
    <x v="0"/>
    <x v="5"/>
    <x v="3"/>
    <x v="1"/>
    <n v="51"/>
    <n v="45"/>
    <x v="71"/>
  </r>
  <r>
    <x v="0"/>
    <x v="5"/>
    <x v="4"/>
    <x v="0"/>
    <n v="101"/>
    <n v="97"/>
    <x v="72"/>
  </r>
  <r>
    <x v="0"/>
    <x v="5"/>
    <x v="4"/>
    <x v="1"/>
    <n v="182"/>
    <n v="101"/>
    <x v="73"/>
  </r>
  <r>
    <x v="0"/>
    <x v="5"/>
    <x v="5"/>
    <x v="0"/>
    <n v="153"/>
    <n v="93"/>
    <x v="74"/>
  </r>
  <r>
    <x v="0"/>
    <x v="5"/>
    <x v="5"/>
    <x v="1"/>
    <n v="150"/>
    <n v="19"/>
    <x v="58"/>
  </r>
  <r>
    <x v="0"/>
    <x v="5"/>
    <x v="6"/>
    <x v="0"/>
    <n v="242"/>
    <n v="32"/>
    <x v="75"/>
  </r>
  <r>
    <x v="0"/>
    <x v="5"/>
    <x v="6"/>
    <x v="1"/>
    <n v="142"/>
    <n v="105"/>
    <x v="76"/>
  </r>
  <r>
    <x v="0"/>
    <x v="5"/>
    <x v="7"/>
    <x v="0"/>
    <n v="67"/>
    <n v="99"/>
    <x v="53"/>
  </r>
  <r>
    <x v="0"/>
    <x v="5"/>
    <x v="7"/>
    <x v="1"/>
    <n v="142"/>
    <n v="42"/>
    <x v="77"/>
  </r>
  <r>
    <x v="0"/>
    <x v="6"/>
    <x v="0"/>
    <x v="0"/>
    <n v="40"/>
    <n v="34"/>
    <x v="78"/>
  </r>
  <r>
    <x v="0"/>
    <x v="6"/>
    <x v="0"/>
    <x v="1"/>
    <n v="223"/>
    <n v="15"/>
    <x v="56"/>
  </r>
  <r>
    <x v="0"/>
    <x v="6"/>
    <x v="1"/>
    <x v="0"/>
    <n v="94"/>
    <n v="17"/>
    <x v="62"/>
  </r>
  <r>
    <x v="0"/>
    <x v="6"/>
    <x v="1"/>
    <x v="1"/>
    <n v="108"/>
    <n v="14"/>
    <x v="79"/>
  </r>
  <r>
    <x v="0"/>
    <x v="6"/>
    <x v="2"/>
    <x v="0"/>
    <n v="133"/>
    <n v="32"/>
    <x v="80"/>
  </r>
  <r>
    <x v="0"/>
    <x v="6"/>
    <x v="2"/>
    <x v="1"/>
    <n v="227"/>
    <n v="105"/>
    <x v="81"/>
  </r>
  <r>
    <x v="0"/>
    <x v="6"/>
    <x v="3"/>
    <x v="0"/>
    <n v="247"/>
    <n v="86"/>
    <x v="82"/>
  </r>
  <r>
    <x v="0"/>
    <x v="6"/>
    <x v="3"/>
    <x v="1"/>
    <n v="189"/>
    <n v="55"/>
    <x v="83"/>
  </r>
  <r>
    <x v="0"/>
    <x v="6"/>
    <x v="4"/>
    <x v="0"/>
    <n v="109"/>
    <n v="45"/>
    <x v="84"/>
  </r>
  <r>
    <x v="0"/>
    <x v="6"/>
    <x v="4"/>
    <x v="1"/>
    <n v="254"/>
    <n v="19"/>
    <x v="48"/>
  </r>
  <r>
    <x v="0"/>
    <x v="6"/>
    <x v="5"/>
    <x v="0"/>
    <n v="57"/>
    <n v="85"/>
    <x v="85"/>
  </r>
  <r>
    <x v="0"/>
    <x v="6"/>
    <x v="5"/>
    <x v="1"/>
    <n v="74"/>
    <n v="70"/>
    <x v="86"/>
  </r>
  <r>
    <x v="0"/>
    <x v="6"/>
    <x v="6"/>
    <x v="0"/>
    <n v="156"/>
    <n v="52"/>
    <x v="87"/>
  </r>
  <r>
    <x v="0"/>
    <x v="6"/>
    <x v="6"/>
    <x v="1"/>
    <n v="190"/>
    <n v="47"/>
    <x v="88"/>
  </r>
  <r>
    <x v="0"/>
    <x v="6"/>
    <x v="7"/>
    <x v="0"/>
    <n v="219"/>
    <n v="101"/>
    <x v="89"/>
  </r>
  <r>
    <x v="0"/>
    <x v="6"/>
    <x v="7"/>
    <x v="1"/>
    <n v="73"/>
    <n v="77"/>
    <x v="90"/>
  </r>
  <r>
    <x v="0"/>
    <x v="7"/>
    <x v="0"/>
    <x v="0"/>
    <n v="55"/>
    <n v="19"/>
    <x v="78"/>
  </r>
  <r>
    <x v="0"/>
    <x v="7"/>
    <x v="0"/>
    <x v="1"/>
    <n v="228"/>
    <n v="82"/>
    <x v="91"/>
  </r>
  <r>
    <x v="0"/>
    <x v="7"/>
    <x v="1"/>
    <x v="0"/>
    <n v="214"/>
    <n v="30"/>
    <x v="83"/>
  </r>
  <r>
    <x v="0"/>
    <x v="7"/>
    <x v="1"/>
    <x v="1"/>
    <n v="256"/>
    <n v="52"/>
    <x v="92"/>
  </r>
  <r>
    <x v="0"/>
    <x v="7"/>
    <x v="2"/>
    <x v="0"/>
    <n v="122"/>
    <n v="109"/>
    <x v="50"/>
  </r>
  <r>
    <x v="0"/>
    <x v="7"/>
    <x v="2"/>
    <x v="1"/>
    <n v="50"/>
    <n v="98"/>
    <x v="93"/>
  </r>
  <r>
    <x v="0"/>
    <x v="7"/>
    <x v="3"/>
    <x v="0"/>
    <n v="219"/>
    <n v="18"/>
    <x v="88"/>
  </r>
  <r>
    <x v="0"/>
    <x v="7"/>
    <x v="3"/>
    <x v="1"/>
    <n v="126"/>
    <n v="16"/>
    <x v="85"/>
  </r>
  <r>
    <x v="0"/>
    <x v="7"/>
    <x v="4"/>
    <x v="0"/>
    <n v="243"/>
    <n v="35"/>
    <x v="94"/>
  </r>
  <r>
    <x v="0"/>
    <x v="7"/>
    <x v="4"/>
    <x v="1"/>
    <n v="242"/>
    <n v="65"/>
    <x v="95"/>
  </r>
  <r>
    <x v="0"/>
    <x v="7"/>
    <x v="5"/>
    <x v="0"/>
    <n v="146"/>
    <n v="82"/>
    <x v="96"/>
  </r>
  <r>
    <x v="0"/>
    <x v="7"/>
    <x v="5"/>
    <x v="1"/>
    <n v="129"/>
    <n v="71"/>
    <x v="97"/>
  </r>
  <r>
    <x v="0"/>
    <x v="7"/>
    <x v="6"/>
    <x v="0"/>
    <n v="52"/>
    <n v="56"/>
    <x v="98"/>
  </r>
  <r>
    <x v="0"/>
    <x v="7"/>
    <x v="6"/>
    <x v="1"/>
    <n v="86"/>
    <n v="75"/>
    <x v="26"/>
  </r>
  <r>
    <x v="0"/>
    <x v="7"/>
    <x v="7"/>
    <x v="0"/>
    <n v="66"/>
    <n v="42"/>
    <x v="98"/>
  </r>
  <r>
    <x v="0"/>
    <x v="7"/>
    <x v="7"/>
    <x v="1"/>
    <n v="86"/>
    <n v="89"/>
    <x v="99"/>
  </r>
  <r>
    <x v="1"/>
    <x v="0"/>
    <x v="0"/>
    <x v="0"/>
    <n v="88"/>
    <n v="29"/>
    <x v="100"/>
  </r>
  <r>
    <x v="1"/>
    <x v="0"/>
    <x v="0"/>
    <x v="1"/>
    <n v="70"/>
    <n v="54"/>
    <x v="1"/>
  </r>
  <r>
    <x v="1"/>
    <x v="0"/>
    <x v="1"/>
    <x v="0"/>
    <n v="104"/>
    <n v="60"/>
    <x v="101"/>
  </r>
  <r>
    <x v="1"/>
    <x v="0"/>
    <x v="1"/>
    <x v="1"/>
    <n v="240"/>
    <n v="89"/>
    <x v="102"/>
  </r>
  <r>
    <x v="1"/>
    <x v="0"/>
    <x v="2"/>
    <x v="0"/>
    <n v="55"/>
    <n v="42"/>
    <x v="103"/>
  </r>
  <r>
    <x v="1"/>
    <x v="0"/>
    <x v="2"/>
    <x v="1"/>
    <n v="166"/>
    <n v="80"/>
    <x v="74"/>
  </r>
  <r>
    <x v="1"/>
    <x v="0"/>
    <x v="3"/>
    <x v="0"/>
    <n v="97"/>
    <n v="102"/>
    <x v="104"/>
  </r>
  <r>
    <x v="1"/>
    <x v="0"/>
    <x v="3"/>
    <x v="1"/>
    <n v="246"/>
    <n v="99"/>
    <x v="105"/>
  </r>
  <r>
    <x v="1"/>
    <x v="0"/>
    <x v="4"/>
    <x v="0"/>
    <n v="106"/>
    <n v="107"/>
    <x v="7"/>
  </r>
  <r>
    <x v="1"/>
    <x v="0"/>
    <x v="4"/>
    <x v="1"/>
    <n v="181"/>
    <n v="76"/>
    <x v="106"/>
  </r>
  <r>
    <x v="1"/>
    <x v="0"/>
    <x v="5"/>
    <x v="0"/>
    <n v="54"/>
    <n v="54"/>
    <x v="98"/>
  </r>
  <r>
    <x v="1"/>
    <x v="0"/>
    <x v="5"/>
    <x v="1"/>
    <n v="80"/>
    <n v="95"/>
    <x v="99"/>
  </r>
  <r>
    <x v="1"/>
    <x v="0"/>
    <x v="6"/>
    <x v="0"/>
    <n v="154"/>
    <n v="34"/>
    <x v="18"/>
  </r>
  <r>
    <x v="1"/>
    <x v="0"/>
    <x v="6"/>
    <x v="1"/>
    <n v="228"/>
    <n v="54"/>
    <x v="46"/>
  </r>
  <r>
    <x v="1"/>
    <x v="0"/>
    <x v="7"/>
    <x v="0"/>
    <n v="198"/>
    <n v="39"/>
    <x v="88"/>
  </r>
  <r>
    <x v="1"/>
    <x v="0"/>
    <x v="7"/>
    <x v="1"/>
    <n v="204"/>
    <n v="105"/>
    <x v="107"/>
  </r>
  <r>
    <x v="1"/>
    <x v="1"/>
    <x v="0"/>
    <x v="0"/>
    <n v="240"/>
    <n v="40"/>
    <x v="108"/>
  </r>
  <r>
    <x v="1"/>
    <x v="1"/>
    <x v="0"/>
    <x v="1"/>
    <n v="70"/>
    <n v="81"/>
    <x v="109"/>
  </r>
  <r>
    <x v="1"/>
    <x v="1"/>
    <x v="1"/>
    <x v="0"/>
    <n v="204"/>
    <n v="109"/>
    <x v="110"/>
  </r>
  <r>
    <x v="1"/>
    <x v="1"/>
    <x v="1"/>
    <x v="1"/>
    <n v="165"/>
    <n v="87"/>
    <x v="111"/>
  </r>
  <r>
    <x v="1"/>
    <x v="1"/>
    <x v="2"/>
    <x v="0"/>
    <n v="138"/>
    <n v="67"/>
    <x v="13"/>
  </r>
  <r>
    <x v="1"/>
    <x v="1"/>
    <x v="2"/>
    <x v="1"/>
    <n v="107"/>
    <n v="41"/>
    <x v="93"/>
  </r>
  <r>
    <x v="1"/>
    <x v="1"/>
    <x v="3"/>
    <x v="0"/>
    <n v="199"/>
    <n v="74"/>
    <x v="48"/>
  </r>
  <r>
    <x v="1"/>
    <x v="1"/>
    <x v="3"/>
    <x v="1"/>
    <n v="231"/>
    <n v="80"/>
    <x v="112"/>
  </r>
  <r>
    <x v="1"/>
    <x v="1"/>
    <x v="4"/>
    <x v="0"/>
    <n v="175"/>
    <n v="70"/>
    <x v="10"/>
  </r>
  <r>
    <x v="1"/>
    <x v="1"/>
    <x v="4"/>
    <x v="1"/>
    <n v="81"/>
    <n v="57"/>
    <x v="113"/>
  </r>
  <r>
    <x v="1"/>
    <x v="1"/>
    <x v="5"/>
    <x v="0"/>
    <n v="201"/>
    <n v="44"/>
    <x v="10"/>
  </r>
  <r>
    <x v="1"/>
    <x v="1"/>
    <x v="5"/>
    <x v="1"/>
    <n v="87"/>
    <n v="103"/>
    <x v="114"/>
  </r>
  <r>
    <x v="1"/>
    <x v="1"/>
    <x v="6"/>
    <x v="0"/>
    <n v="205"/>
    <n v="54"/>
    <x v="34"/>
  </r>
  <r>
    <x v="1"/>
    <x v="1"/>
    <x v="6"/>
    <x v="1"/>
    <n v="191"/>
    <n v="54"/>
    <x v="10"/>
  </r>
  <r>
    <x v="1"/>
    <x v="1"/>
    <x v="7"/>
    <x v="0"/>
    <n v="146"/>
    <n v="80"/>
    <x v="115"/>
  </r>
  <r>
    <x v="1"/>
    <x v="1"/>
    <x v="7"/>
    <x v="1"/>
    <n v="46"/>
    <n v="44"/>
    <x v="116"/>
  </r>
  <r>
    <x v="1"/>
    <x v="2"/>
    <x v="0"/>
    <x v="0"/>
    <n v="92"/>
    <n v="70"/>
    <x v="117"/>
  </r>
  <r>
    <x v="1"/>
    <x v="2"/>
    <x v="0"/>
    <x v="1"/>
    <n v="66"/>
    <n v="57"/>
    <x v="0"/>
  </r>
  <r>
    <x v="1"/>
    <x v="2"/>
    <x v="1"/>
    <x v="0"/>
    <n v="82"/>
    <n v="38"/>
    <x v="118"/>
  </r>
  <r>
    <x v="1"/>
    <x v="2"/>
    <x v="1"/>
    <x v="1"/>
    <n v="159"/>
    <n v="47"/>
    <x v="119"/>
  </r>
  <r>
    <x v="1"/>
    <x v="2"/>
    <x v="2"/>
    <x v="0"/>
    <n v="128"/>
    <n v="107"/>
    <x v="120"/>
  </r>
  <r>
    <x v="1"/>
    <x v="2"/>
    <x v="2"/>
    <x v="1"/>
    <n v="56"/>
    <n v="100"/>
    <x v="121"/>
  </r>
  <r>
    <x v="1"/>
    <x v="2"/>
    <x v="3"/>
    <x v="0"/>
    <n v="80"/>
    <n v="103"/>
    <x v="60"/>
  </r>
  <r>
    <x v="1"/>
    <x v="2"/>
    <x v="3"/>
    <x v="1"/>
    <n v="95"/>
    <n v="66"/>
    <x v="26"/>
  </r>
  <r>
    <x v="1"/>
    <x v="2"/>
    <x v="4"/>
    <x v="0"/>
    <n v="48"/>
    <n v="75"/>
    <x v="0"/>
  </r>
  <r>
    <x v="1"/>
    <x v="2"/>
    <x v="4"/>
    <x v="1"/>
    <n v="234"/>
    <n v="58"/>
    <x v="122"/>
  </r>
  <r>
    <x v="1"/>
    <x v="2"/>
    <x v="5"/>
    <x v="0"/>
    <n v="112"/>
    <n v="20"/>
    <x v="123"/>
  </r>
  <r>
    <x v="1"/>
    <x v="2"/>
    <x v="5"/>
    <x v="1"/>
    <n v="58"/>
    <n v="101"/>
    <x v="38"/>
  </r>
  <r>
    <x v="1"/>
    <x v="2"/>
    <x v="6"/>
    <x v="0"/>
    <n v="158"/>
    <n v="43"/>
    <x v="124"/>
  </r>
  <r>
    <x v="1"/>
    <x v="2"/>
    <x v="6"/>
    <x v="1"/>
    <n v="220"/>
    <n v="109"/>
    <x v="102"/>
  </r>
  <r>
    <x v="1"/>
    <x v="2"/>
    <x v="7"/>
    <x v="0"/>
    <n v="163"/>
    <n v="83"/>
    <x v="74"/>
  </r>
  <r>
    <x v="1"/>
    <x v="2"/>
    <x v="7"/>
    <x v="1"/>
    <n v="259"/>
    <n v="89"/>
    <x v="125"/>
  </r>
  <r>
    <x v="1"/>
    <x v="3"/>
    <x v="0"/>
    <x v="0"/>
    <n v="105"/>
    <n v="27"/>
    <x v="123"/>
  </r>
  <r>
    <x v="1"/>
    <x v="3"/>
    <x v="0"/>
    <x v="1"/>
    <n v="180"/>
    <n v="71"/>
    <x v="126"/>
  </r>
  <r>
    <x v="1"/>
    <x v="3"/>
    <x v="1"/>
    <x v="0"/>
    <n v="68"/>
    <n v="56"/>
    <x v="1"/>
  </r>
  <r>
    <x v="1"/>
    <x v="3"/>
    <x v="1"/>
    <x v="1"/>
    <n v="142"/>
    <n v="88"/>
    <x v="25"/>
  </r>
  <r>
    <x v="1"/>
    <x v="3"/>
    <x v="2"/>
    <x v="0"/>
    <n v="250"/>
    <n v="98"/>
    <x v="125"/>
  </r>
  <r>
    <x v="1"/>
    <x v="3"/>
    <x v="2"/>
    <x v="1"/>
    <n v="111"/>
    <n v="68"/>
    <x v="40"/>
  </r>
  <r>
    <x v="1"/>
    <x v="3"/>
    <x v="3"/>
    <x v="0"/>
    <n v="239"/>
    <n v="27"/>
    <x v="127"/>
  </r>
  <r>
    <x v="1"/>
    <x v="3"/>
    <x v="3"/>
    <x v="1"/>
    <n v="95"/>
    <n v="99"/>
    <x v="36"/>
  </r>
  <r>
    <x v="1"/>
    <x v="3"/>
    <x v="4"/>
    <x v="0"/>
    <n v="86"/>
    <n v="107"/>
    <x v="128"/>
  </r>
  <r>
    <x v="1"/>
    <x v="3"/>
    <x v="4"/>
    <x v="1"/>
    <n v="194"/>
    <n v="69"/>
    <x v="129"/>
  </r>
  <r>
    <x v="1"/>
    <x v="3"/>
    <x v="5"/>
    <x v="0"/>
    <n v="147"/>
    <n v="62"/>
    <x v="130"/>
  </r>
  <r>
    <x v="1"/>
    <x v="3"/>
    <x v="5"/>
    <x v="1"/>
    <n v="239"/>
    <n v="52"/>
    <x v="64"/>
  </r>
  <r>
    <x v="1"/>
    <x v="3"/>
    <x v="6"/>
    <x v="0"/>
    <n v="140"/>
    <n v="88"/>
    <x v="96"/>
  </r>
  <r>
    <x v="1"/>
    <x v="3"/>
    <x v="6"/>
    <x v="1"/>
    <n v="241"/>
    <n v="103"/>
    <x v="131"/>
  </r>
  <r>
    <x v="1"/>
    <x v="3"/>
    <x v="7"/>
    <x v="0"/>
    <n v="206"/>
    <n v="82"/>
    <x v="132"/>
  </r>
  <r>
    <x v="1"/>
    <x v="3"/>
    <x v="7"/>
    <x v="1"/>
    <n v="131"/>
    <n v="94"/>
    <x v="133"/>
  </r>
  <r>
    <x v="1"/>
    <x v="4"/>
    <x v="0"/>
    <x v="0"/>
    <n v="66"/>
    <n v="79"/>
    <x v="17"/>
  </r>
  <r>
    <x v="1"/>
    <x v="4"/>
    <x v="0"/>
    <x v="1"/>
    <n v="205"/>
    <n v="96"/>
    <x v="22"/>
  </r>
  <r>
    <x v="1"/>
    <x v="4"/>
    <x v="1"/>
    <x v="0"/>
    <n v="113"/>
    <n v="103"/>
    <x v="2"/>
  </r>
  <r>
    <x v="1"/>
    <x v="4"/>
    <x v="1"/>
    <x v="1"/>
    <n v="86"/>
    <n v="104"/>
    <x v="114"/>
  </r>
  <r>
    <x v="1"/>
    <x v="4"/>
    <x v="2"/>
    <x v="0"/>
    <n v="74"/>
    <n v="27"/>
    <x v="134"/>
  </r>
  <r>
    <x v="1"/>
    <x v="4"/>
    <x v="2"/>
    <x v="1"/>
    <n v="113"/>
    <n v="17"/>
    <x v="135"/>
  </r>
  <r>
    <x v="1"/>
    <x v="4"/>
    <x v="3"/>
    <x v="0"/>
    <n v="155"/>
    <n v="78"/>
    <x v="136"/>
  </r>
  <r>
    <x v="1"/>
    <x v="4"/>
    <x v="3"/>
    <x v="1"/>
    <n v="156"/>
    <n v="54"/>
    <x v="57"/>
  </r>
  <r>
    <x v="1"/>
    <x v="4"/>
    <x v="4"/>
    <x v="0"/>
    <n v="236"/>
    <n v="85"/>
    <x v="137"/>
  </r>
  <r>
    <x v="1"/>
    <x v="4"/>
    <x v="4"/>
    <x v="1"/>
    <n v="260"/>
    <n v="33"/>
    <x v="29"/>
  </r>
  <r>
    <x v="1"/>
    <x v="4"/>
    <x v="5"/>
    <x v="0"/>
    <n v="80"/>
    <n v="39"/>
    <x v="138"/>
  </r>
  <r>
    <x v="1"/>
    <x v="4"/>
    <x v="5"/>
    <x v="1"/>
    <n v="163"/>
    <n v="22"/>
    <x v="3"/>
  </r>
  <r>
    <x v="1"/>
    <x v="4"/>
    <x v="6"/>
    <x v="0"/>
    <n v="76"/>
    <n v="86"/>
    <x v="117"/>
  </r>
  <r>
    <x v="1"/>
    <x v="4"/>
    <x v="6"/>
    <x v="1"/>
    <n v="235"/>
    <n v="17"/>
    <x v="111"/>
  </r>
  <r>
    <x v="1"/>
    <x v="4"/>
    <x v="7"/>
    <x v="0"/>
    <n v="120"/>
    <n v="54"/>
    <x v="15"/>
  </r>
  <r>
    <x v="1"/>
    <x v="4"/>
    <x v="7"/>
    <x v="1"/>
    <n v="236"/>
    <n v="53"/>
    <x v="41"/>
  </r>
  <r>
    <x v="1"/>
    <x v="5"/>
    <x v="0"/>
    <x v="0"/>
    <n v="204"/>
    <n v="39"/>
    <x v="37"/>
  </r>
  <r>
    <x v="1"/>
    <x v="5"/>
    <x v="0"/>
    <x v="1"/>
    <n v="176"/>
    <n v="59"/>
    <x v="120"/>
  </r>
  <r>
    <x v="1"/>
    <x v="5"/>
    <x v="1"/>
    <x v="0"/>
    <n v="251"/>
    <n v="36"/>
    <x v="139"/>
  </r>
  <r>
    <x v="1"/>
    <x v="5"/>
    <x v="1"/>
    <x v="1"/>
    <n v="215"/>
    <n v="24"/>
    <x v="140"/>
  </r>
  <r>
    <x v="1"/>
    <x v="5"/>
    <x v="2"/>
    <x v="0"/>
    <n v="250"/>
    <n v="78"/>
    <x v="141"/>
  </r>
  <r>
    <x v="1"/>
    <x v="5"/>
    <x v="2"/>
    <x v="1"/>
    <n v="101"/>
    <n v="28"/>
    <x v="142"/>
  </r>
  <r>
    <x v="1"/>
    <x v="5"/>
    <x v="3"/>
    <x v="0"/>
    <n v="41"/>
    <n v="24"/>
    <x v="143"/>
  </r>
  <r>
    <x v="1"/>
    <x v="5"/>
    <x v="3"/>
    <x v="1"/>
    <n v="224"/>
    <n v="18"/>
    <x v="144"/>
  </r>
  <r>
    <x v="1"/>
    <x v="5"/>
    <x v="4"/>
    <x v="0"/>
    <n v="86"/>
    <n v="14"/>
    <x v="145"/>
  </r>
  <r>
    <x v="1"/>
    <x v="5"/>
    <x v="4"/>
    <x v="1"/>
    <n v="178"/>
    <n v="79"/>
    <x v="106"/>
  </r>
  <r>
    <x v="1"/>
    <x v="5"/>
    <x v="5"/>
    <x v="0"/>
    <n v="248"/>
    <n v="70"/>
    <x v="51"/>
  </r>
  <r>
    <x v="1"/>
    <x v="5"/>
    <x v="5"/>
    <x v="1"/>
    <n v="227"/>
    <n v="87"/>
    <x v="146"/>
  </r>
  <r>
    <x v="1"/>
    <x v="5"/>
    <x v="6"/>
    <x v="0"/>
    <n v="123"/>
    <n v="22"/>
    <x v="17"/>
  </r>
  <r>
    <x v="1"/>
    <x v="5"/>
    <x v="6"/>
    <x v="1"/>
    <n v="81"/>
    <n v="10"/>
    <x v="147"/>
  </r>
  <r>
    <x v="1"/>
    <x v="5"/>
    <x v="7"/>
    <x v="0"/>
    <n v="59"/>
    <n v="92"/>
    <x v="109"/>
  </r>
  <r>
    <x v="1"/>
    <x v="5"/>
    <x v="7"/>
    <x v="1"/>
    <n v="125"/>
    <n v="98"/>
    <x v="148"/>
  </r>
  <r>
    <x v="1"/>
    <x v="6"/>
    <x v="0"/>
    <x v="0"/>
    <n v="234"/>
    <n v="42"/>
    <x v="149"/>
  </r>
  <r>
    <x v="1"/>
    <x v="6"/>
    <x v="0"/>
    <x v="1"/>
    <n v="173"/>
    <n v="58"/>
    <x v="50"/>
  </r>
  <r>
    <x v="1"/>
    <x v="6"/>
    <x v="1"/>
    <x v="0"/>
    <n v="195"/>
    <n v="66"/>
    <x v="150"/>
  </r>
  <r>
    <x v="1"/>
    <x v="6"/>
    <x v="1"/>
    <x v="1"/>
    <n v="171"/>
    <n v="107"/>
    <x v="94"/>
  </r>
  <r>
    <x v="1"/>
    <x v="6"/>
    <x v="2"/>
    <x v="0"/>
    <n v="71"/>
    <n v="22"/>
    <x v="151"/>
  </r>
  <r>
    <x v="1"/>
    <x v="6"/>
    <x v="2"/>
    <x v="1"/>
    <n v="248"/>
    <n v="23"/>
    <x v="152"/>
  </r>
  <r>
    <x v="1"/>
    <x v="6"/>
    <x v="3"/>
    <x v="0"/>
    <n v="232"/>
    <n v="29"/>
    <x v="150"/>
  </r>
  <r>
    <x v="1"/>
    <x v="6"/>
    <x v="3"/>
    <x v="1"/>
    <n v="168"/>
    <n v="87"/>
    <x v="153"/>
  </r>
  <r>
    <x v="1"/>
    <x v="6"/>
    <x v="4"/>
    <x v="0"/>
    <n v="187"/>
    <n v="79"/>
    <x v="127"/>
  </r>
  <r>
    <x v="1"/>
    <x v="6"/>
    <x v="4"/>
    <x v="1"/>
    <n v="56"/>
    <n v="33"/>
    <x v="154"/>
  </r>
  <r>
    <x v="1"/>
    <x v="6"/>
    <x v="5"/>
    <x v="0"/>
    <n v="119"/>
    <n v="13"/>
    <x v="123"/>
  </r>
  <r>
    <x v="1"/>
    <x v="6"/>
    <x v="5"/>
    <x v="1"/>
    <n v="256"/>
    <n v="98"/>
    <x v="155"/>
  </r>
  <r>
    <x v="1"/>
    <x v="6"/>
    <x v="6"/>
    <x v="0"/>
    <n v="225"/>
    <n v="60"/>
    <x v="156"/>
  </r>
  <r>
    <x v="1"/>
    <x v="6"/>
    <x v="6"/>
    <x v="1"/>
    <n v="212"/>
    <n v="60"/>
    <x v="157"/>
  </r>
  <r>
    <x v="1"/>
    <x v="6"/>
    <x v="7"/>
    <x v="0"/>
    <n v="172"/>
    <n v="101"/>
    <x v="48"/>
  </r>
  <r>
    <x v="1"/>
    <x v="6"/>
    <x v="7"/>
    <x v="1"/>
    <n v="89"/>
    <n v="66"/>
    <x v="158"/>
  </r>
  <r>
    <x v="1"/>
    <x v="7"/>
    <x v="0"/>
    <x v="0"/>
    <n v="139"/>
    <n v="11"/>
    <x v="90"/>
  </r>
  <r>
    <x v="1"/>
    <x v="7"/>
    <x v="0"/>
    <x v="1"/>
    <n v="189"/>
    <n v="66"/>
    <x v="153"/>
  </r>
  <r>
    <x v="1"/>
    <x v="7"/>
    <x v="1"/>
    <x v="0"/>
    <n v="46"/>
    <n v="56"/>
    <x v="159"/>
  </r>
  <r>
    <x v="1"/>
    <x v="7"/>
    <x v="1"/>
    <x v="1"/>
    <n v="246"/>
    <n v="89"/>
    <x v="160"/>
  </r>
  <r>
    <x v="1"/>
    <x v="7"/>
    <x v="2"/>
    <x v="0"/>
    <n v="101"/>
    <n v="77"/>
    <x v="63"/>
  </r>
  <r>
    <x v="1"/>
    <x v="7"/>
    <x v="2"/>
    <x v="1"/>
    <n v="162"/>
    <n v="36"/>
    <x v="72"/>
  </r>
  <r>
    <x v="1"/>
    <x v="7"/>
    <x v="3"/>
    <x v="0"/>
    <n v="135"/>
    <n v="56"/>
    <x v="39"/>
  </r>
  <r>
    <x v="1"/>
    <x v="7"/>
    <x v="3"/>
    <x v="1"/>
    <n v="82"/>
    <n v="55"/>
    <x v="20"/>
  </r>
  <r>
    <x v="1"/>
    <x v="7"/>
    <x v="4"/>
    <x v="0"/>
    <n v="203"/>
    <n v="78"/>
    <x v="47"/>
  </r>
  <r>
    <x v="1"/>
    <x v="7"/>
    <x v="4"/>
    <x v="1"/>
    <n v="247"/>
    <n v="33"/>
    <x v="108"/>
  </r>
  <r>
    <x v="1"/>
    <x v="7"/>
    <x v="5"/>
    <x v="0"/>
    <n v="182"/>
    <n v="56"/>
    <x v="56"/>
  </r>
  <r>
    <x v="1"/>
    <x v="7"/>
    <x v="5"/>
    <x v="1"/>
    <n v="168"/>
    <n v="95"/>
    <x v="129"/>
  </r>
  <r>
    <x v="1"/>
    <x v="7"/>
    <x v="6"/>
    <x v="0"/>
    <n v="97"/>
    <n v="108"/>
    <x v="13"/>
  </r>
  <r>
    <x v="1"/>
    <x v="7"/>
    <x v="6"/>
    <x v="1"/>
    <n v="226"/>
    <n v="110"/>
    <x v="161"/>
  </r>
  <r>
    <x v="1"/>
    <x v="7"/>
    <x v="7"/>
    <x v="0"/>
    <n v="190"/>
    <n v="43"/>
    <x v="136"/>
  </r>
  <r>
    <x v="1"/>
    <x v="7"/>
    <x v="7"/>
    <x v="1"/>
    <n v="202"/>
    <n v="20"/>
    <x v="162"/>
  </r>
  <r>
    <x v="2"/>
    <x v="0"/>
    <x v="0"/>
    <x v="0"/>
    <n v="142"/>
    <n v="109"/>
    <x v="126"/>
  </r>
  <r>
    <x v="2"/>
    <x v="0"/>
    <x v="0"/>
    <x v="1"/>
    <n v="243"/>
    <n v="107"/>
    <x v="163"/>
  </r>
  <r>
    <x v="2"/>
    <x v="0"/>
    <x v="1"/>
    <x v="0"/>
    <n v="75"/>
    <n v="64"/>
    <x v="164"/>
  </r>
  <r>
    <x v="2"/>
    <x v="0"/>
    <x v="1"/>
    <x v="1"/>
    <n v="99"/>
    <n v="87"/>
    <x v="28"/>
  </r>
  <r>
    <x v="2"/>
    <x v="0"/>
    <x v="2"/>
    <x v="0"/>
    <n v="175"/>
    <n v="19"/>
    <x v="36"/>
  </r>
  <r>
    <x v="2"/>
    <x v="0"/>
    <x v="2"/>
    <x v="1"/>
    <n v="90"/>
    <n v="47"/>
    <x v="20"/>
  </r>
  <r>
    <x v="2"/>
    <x v="0"/>
    <x v="3"/>
    <x v="0"/>
    <n v="217"/>
    <n v="104"/>
    <x v="137"/>
  </r>
  <r>
    <x v="2"/>
    <x v="0"/>
    <x v="3"/>
    <x v="1"/>
    <n v="234"/>
    <n v="57"/>
    <x v="64"/>
  </r>
  <r>
    <x v="2"/>
    <x v="0"/>
    <x v="4"/>
    <x v="0"/>
    <n v="252"/>
    <n v="79"/>
    <x v="70"/>
  </r>
  <r>
    <x v="2"/>
    <x v="0"/>
    <x v="4"/>
    <x v="1"/>
    <n v="214"/>
    <n v="16"/>
    <x v="25"/>
  </r>
  <r>
    <x v="2"/>
    <x v="0"/>
    <x v="5"/>
    <x v="0"/>
    <n v="100"/>
    <n v="101"/>
    <x v="124"/>
  </r>
  <r>
    <x v="2"/>
    <x v="0"/>
    <x v="5"/>
    <x v="1"/>
    <n v="159"/>
    <n v="50"/>
    <x v="130"/>
  </r>
  <r>
    <x v="2"/>
    <x v="0"/>
    <x v="6"/>
    <x v="0"/>
    <n v="70"/>
    <n v="99"/>
    <x v="58"/>
  </r>
  <r>
    <x v="2"/>
    <x v="0"/>
    <x v="6"/>
    <x v="1"/>
    <n v="182"/>
    <n v="80"/>
    <x v="165"/>
  </r>
  <r>
    <x v="2"/>
    <x v="0"/>
    <x v="7"/>
    <x v="0"/>
    <n v="78"/>
    <n v="44"/>
    <x v="79"/>
  </r>
  <r>
    <x v="2"/>
    <x v="0"/>
    <x v="7"/>
    <x v="1"/>
    <n v="153"/>
    <n v="66"/>
    <x v="166"/>
  </r>
  <r>
    <x v="2"/>
    <x v="1"/>
    <x v="0"/>
    <x v="0"/>
    <n v="186"/>
    <n v="53"/>
    <x v="140"/>
  </r>
  <r>
    <x v="2"/>
    <x v="1"/>
    <x v="0"/>
    <x v="1"/>
    <n v="182"/>
    <n v="96"/>
    <x v="94"/>
  </r>
  <r>
    <x v="2"/>
    <x v="1"/>
    <x v="1"/>
    <x v="0"/>
    <n v="94"/>
    <n v="62"/>
    <x v="121"/>
  </r>
  <r>
    <x v="2"/>
    <x v="1"/>
    <x v="1"/>
    <x v="1"/>
    <n v="102"/>
    <n v="21"/>
    <x v="0"/>
  </r>
  <r>
    <x v="2"/>
    <x v="1"/>
    <x v="2"/>
    <x v="0"/>
    <n v="66"/>
    <n v="19"/>
    <x v="167"/>
  </r>
  <r>
    <x v="2"/>
    <x v="1"/>
    <x v="2"/>
    <x v="1"/>
    <n v="102"/>
    <n v="58"/>
    <x v="23"/>
  </r>
  <r>
    <x v="2"/>
    <x v="1"/>
    <x v="3"/>
    <x v="0"/>
    <n v="108"/>
    <n v="89"/>
    <x v="168"/>
  </r>
  <r>
    <x v="2"/>
    <x v="1"/>
    <x v="3"/>
    <x v="1"/>
    <n v="179"/>
    <n v="23"/>
    <x v="169"/>
  </r>
  <r>
    <x v="2"/>
    <x v="1"/>
    <x v="4"/>
    <x v="0"/>
    <n v="214"/>
    <n v="48"/>
    <x v="165"/>
  </r>
  <r>
    <x v="2"/>
    <x v="1"/>
    <x v="4"/>
    <x v="1"/>
    <n v="180"/>
    <n v="33"/>
    <x v="7"/>
  </r>
  <r>
    <x v="2"/>
    <x v="1"/>
    <x v="5"/>
    <x v="0"/>
    <n v="233"/>
    <n v="45"/>
    <x v="94"/>
  </r>
  <r>
    <x v="2"/>
    <x v="1"/>
    <x v="5"/>
    <x v="1"/>
    <n v="169"/>
    <n v="78"/>
    <x v="76"/>
  </r>
  <r>
    <x v="2"/>
    <x v="1"/>
    <x v="6"/>
    <x v="0"/>
    <n v="251"/>
    <n v="22"/>
    <x v="48"/>
  </r>
  <r>
    <x v="2"/>
    <x v="1"/>
    <x v="6"/>
    <x v="1"/>
    <n v="44"/>
    <n v="17"/>
    <x v="170"/>
  </r>
  <r>
    <x v="2"/>
    <x v="1"/>
    <x v="7"/>
    <x v="0"/>
    <n v="232"/>
    <n v="99"/>
    <x v="70"/>
  </r>
  <r>
    <x v="2"/>
    <x v="1"/>
    <x v="7"/>
    <x v="1"/>
    <n v="187"/>
    <n v="88"/>
    <x v="171"/>
  </r>
  <r>
    <x v="2"/>
    <x v="2"/>
    <x v="0"/>
    <x v="0"/>
    <n v="159"/>
    <n v="81"/>
    <x v="35"/>
  </r>
  <r>
    <x v="2"/>
    <x v="2"/>
    <x v="0"/>
    <x v="1"/>
    <n v="142"/>
    <n v="55"/>
    <x v="168"/>
  </r>
  <r>
    <x v="2"/>
    <x v="2"/>
    <x v="1"/>
    <x v="0"/>
    <n v="49"/>
    <n v="11"/>
    <x v="172"/>
  </r>
  <r>
    <x v="2"/>
    <x v="2"/>
    <x v="1"/>
    <x v="1"/>
    <n v="187"/>
    <n v="49"/>
    <x v="173"/>
  </r>
  <r>
    <x v="2"/>
    <x v="2"/>
    <x v="2"/>
    <x v="0"/>
    <n v="131"/>
    <n v="15"/>
    <x v="43"/>
  </r>
  <r>
    <x v="2"/>
    <x v="2"/>
    <x v="2"/>
    <x v="1"/>
    <n v="74"/>
    <n v="96"/>
    <x v="174"/>
  </r>
  <r>
    <x v="2"/>
    <x v="2"/>
    <x v="3"/>
    <x v="0"/>
    <n v="63"/>
    <n v="74"/>
    <x v="20"/>
  </r>
  <r>
    <x v="2"/>
    <x v="2"/>
    <x v="3"/>
    <x v="1"/>
    <n v="231"/>
    <n v="56"/>
    <x v="139"/>
  </r>
  <r>
    <x v="2"/>
    <x v="2"/>
    <x v="4"/>
    <x v="0"/>
    <n v="228"/>
    <n v="66"/>
    <x v="16"/>
  </r>
  <r>
    <x v="2"/>
    <x v="2"/>
    <x v="4"/>
    <x v="1"/>
    <n v="49"/>
    <n v="11"/>
    <x v="172"/>
  </r>
  <r>
    <x v="2"/>
    <x v="2"/>
    <x v="5"/>
    <x v="0"/>
    <n v="104"/>
    <n v="110"/>
    <x v="175"/>
  </r>
  <r>
    <x v="2"/>
    <x v="2"/>
    <x v="5"/>
    <x v="1"/>
    <n v="228"/>
    <n v="83"/>
    <x v="112"/>
  </r>
  <r>
    <x v="2"/>
    <x v="2"/>
    <x v="6"/>
    <x v="0"/>
    <n v="217"/>
    <n v="65"/>
    <x v="46"/>
  </r>
  <r>
    <x v="2"/>
    <x v="2"/>
    <x v="6"/>
    <x v="1"/>
    <n v="70"/>
    <n v="30"/>
    <x v="145"/>
  </r>
  <r>
    <x v="2"/>
    <x v="2"/>
    <x v="7"/>
    <x v="0"/>
    <n v="112"/>
    <n v="46"/>
    <x v="27"/>
  </r>
  <r>
    <x v="2"/>
    <x v="2"/>
    <x v="7"/>
    <x v="1"/>
    <n v="213"/>
    <n v="69"/>
    <x v="46"/>
  </r>
  <r>
    <x v="2"/>
    <x v="3"/>
    <x v="0"/>
    <x v="0"/>
    <n v="194"/>
    <n v="63"/>
    <x v="106"/>
  </r>
  <r>
    <x v="2"/>
    <x v="3"/>
    <x v="0"/>
    <x v="1"/>
    <n v="87"/>
    <n v="61"/>
    <x v="93"/>
  </r>
  <r>
    <x v="2"/>
    <x v="3"/>
    <x v="1"/>
    <x v="0"/>
    <n v="185"/>
    <n v="107"/>
    <x v="122"/>
  </r>
  <r>
    <x v="2"/>
    <x v="3"/>
    <x v="1"/>
    <x v="1"/>
    <n v="89"/>
    <n v="48"/>
    <x v="20"/>
  </r>
  <r>
    <x v="2"/>
    <x v="3"/>
    <x v="2"/>
    <x v="0"/>
    <n v="81"/>
    <n v="13"/>
    <x v="12"/>
  </r>
  <r>
    <x v="2"/>
    <x v="3"/>
    <x v="2"/>
    <x v="1"/>
    <n v="157"/>
    <n v="88"/>
    <x v="10"/>
  </r>
  <r>
    <x v="2"/>
    <x v="3"/>
    <x v="3"/>
    <x v="0"/>
    <n v="112"/>
    <n v="108"/>
    <x v="176"/>
  </r>
  <r>
    <x v="2"/>
    <x v="3"/>
    <x v="3"/>
    <x v="1"/>
    <n v="247"/>
    <n v="95"/>
    <x v="177"/>
  </r>
  <r>
    <x v="2"/>
    <x v="3"/>
    <x v="4"/>
    <x v="0"/>
    <n v="145"/>
    <n v="28"/>
    <x v="178"/>
  </r>
  <r>
    <x v="2"/>
    <x v="3"/>
    <x v="4"/>
    <x v="1"/>
    <n v="180"/>
    <n v="93"/>
    <x v="48"/>
  </r>
  <r>
    <x v="2"/>
    <x v="3"/>
    <x v="5"/>
    <x v="0"/>
    <n v="137"/>
    <n v="50"/>
    <x v="179"/>
  </r>
  <r>
    <x v="2"/>
    <x v="3"/>
    <x v="5"/>
    <x v="1"/>
    <n v="61"/>
    <n v="48"/>
    <x v="52"/>
  </r>
  <r>
    <x v="2"/>
    <x v="3"/>
    <x v="6"/>
    <x v="0"/>
    <n v="159"/>
    <n v="39"/>
    <x v="72"/>
  </r>
  <r>
    <x v="2"/>
    <x v="3"/>
    <x v="6"/>
    <x v="1"/>
    <n v="185"/>
    <n v="17"/>
    <x v="169"/>
  </r>
  <r>
    <x v="2"/>
    <x v="3"/>
    <x v="7"/>
    <x v="0"/>
    <n v="205"/>
    <n v="97"/>
    <x v="65"/>
  </r>
  <r>
    <x v="2"/>
    <x v="3"/>
    <x v="7"/>
    <x v="1"/>
    <n v="230"/>
    <n v="75"/>
    <x v="180"/>
  </r>
  <r>
    <x v="2"/>
    <x v="4"/>
    <x v="0"/>
    <x v="0"/>
    <n v="55"/>
    <n v="108"/>
    <x v="49"/>
  </r>
  <r>
    <x v="2"/>
    <x v="4"/>
    <x v="0"/>
    <x v="1"/>
    <n v="67"/>
    <n v="23"/>
    <x v="116"/>
  </r>
  <r>
    <x v="2"/>
    <x v="4"/>
    <x v="1"/>
    <x v="0"/>
    <n v="135"/>
    <n v="22"/>
    <x v="181"/>
  </r>
  <r>
    <x v="2"/>
    <x v="4"/>
    <x v="1"/>
    <x v="1"/>
    <n v="198"/>
    <n v="14"/>
    <x v="5"/>
  </r>
  <r>
    <x v="2"/>
    <x v="4"/>
    <x v="2"/>
    <x v="0"/>
    <n v="205"/>
    <n v="31"/>
    <x v="173"/>
  </r>
  <r>
    <x v="2"/>
    <x v="4"/>
    <x v="2"/>
    <x v="1"/>
    <n v="115"/>
    <n v="89"/>
    <x v="182"/>
  </r>
  <r>
    <x v="2"/>
    <x v="4"/>
    <x v="3"/>
    <x v="0"/>
    <n v="139"/>
    <n v="79"/>
    <x v="55"/>
  </r>
  <r>
    <x v="2"/>
    <x v="4"/>
    <x v="3"/>
    <x v="1"/>
    <n v="259"/>
    <n v="42"/>
    <x v="22"/>
  </r>
  <r>
    <x v="2"/>
    <x v="4"/>
    <x v="4"/>
    <x v="0"/>
    <n v="99"/>
    <n v="104"/>
    <x v="183"/>
  </r>
  <r>
    <x v="2"/>
    <x v="4"/>
    <x v="4"/>
    <x v="1"/>
    <n v="53"/>
    <n v="60"/>
    <x v="184"/>
  </r>
  <r>
    <x v="2"/>
    <x v="4"/>
    <x v="5"/>
    <x v="0"/>
    <n v="165"/>
    <n v="52"/>
    <x v="19"/>
  </r>
  <r>
    <x v="2"/>
    <x v="4"/>
    <x v="5"/>
    <x v="1"/>
    <n v="209"/>
    <n v="31"/>
    <x v="35"/>
  </r>
  <r>
    <x v="2"/>
    <x v="4"/>
    <x v="6"/>
    <x v="0"/>
    <n v="161"/>
    <n v="21"/>
    <x v="185"/>
  </r>
  <r>
    <x v="2"/>
    <x v="4"/>
    <x v="6"/>
    <x v="1"/>
    <n v="214"/>
    <n v="93"/>
    <x v="95"/>
  </r>
  <r>
    <x v="2"/>
    <x v="4"/>
    <x v="7"/>
    <x v="0"/>
    <n v="175"/>
    <n v="24"/>
    <x v="104"/>
  </r>
  <r>
    <x v="2"/>
    <x v="4"/>
    <x v="7"/>
    <x v="1"/>
    <n v="242"/>
    <n v="53"/>
    <x v="186"/>
  </r>
  <r>
    <x v="2"/>
    <x v="5"/>
    <x v="0"/>
    <x v="0"/>
    <n v="145"/>
    <n v="77"/>
    <x v="162"/>
  </r>
  <r>
    <x v="2"/>
    <x v="5"/>
    <x v="0"/>
    <x v="1"/>
    <n v="139"/>
    <n v="19"/>
    <x v="27"/>
  </r>
  <r>
    <x v="2"/>
    <x v="5"/>
    <x v="1"/>
    <x v="0"/>
    <n v="238"/>
    <n v="70"/>
    <x v="92"/>
  </r>
  <r>
    <x v="2"/>
    <x v="5"/>
    <x v="1"/>
    <x v="1"/>
    <n v="235"/>
    <n v="98"/>
    <x v="82"/>
  </r>
  <r>
    <x v="2"/>
    <x v="5"/>
    <x v="2"/>
    <x v="0"/>
    <n v="223"/>
    <n v="105"/>
    <x v="141"/>
  </r>
  <r>
    <x v="2"/>
    <x v="5"/>
    <x v="2"/>
    <x v="1"/>
    <n v="248"/>
    <n v="44"/>
    <x v="122"/>
  </r>
  <r>
    <x v="2"/>
    <x v="5"/>
    <x v="3"/>
    <x v="0"/>
    <n v="175"/>
    <n v="96"/>
    <x v="152"/>
  </r>
  <r>
    <x v="2"/>
    <x v="5"/>
    <x v="3"/>
    <x v="1"/>
    <n v="177"/>
    <n v="45"/>
    <x v="162"/>
  </r>
  <r>
    <x v="2"/>
    <x v="5"/>
    <x v="4"/>
    <x v="0"/>
    <n v="228"/>
    <n v="58"/>
    <x v="187"/>
  </r>
  <r>
    <x v="2"/>
    <x v="5"/>
    <x v="4"/>
    <x v="1"/>
    <n v="57"/>
    <n v="88"/>
    <x v="17"/>
  </r>
  <r>
    <x v="2"/>
    <x v="5"/>
    <x v="5"/>
    <x v="0"/>
    <n v="50"/>
    <n v="46"/>
    <x v="71"/>
  </r>
  <r>
    <x v="2"/>
    <x v="5"/>
    <x v="5"/>
    <x v="1"/>
    <n v="86"/>
    <n v="43"/>
    <x v="142"/>
  </r>
  <r>
    <x v="2"/>
    <x v="5"/>
    <x v="6"/>
    <x v="0"/>
    <n v="214"/>
    <n v="14"/>
    <x v="96"/>
  </r>
  <r>
    <x v="2"/>
    <x v="5"/>
    <x v="6"/>
    <x v="1"/>
    <n v="83"/>
    <n v="102"/>
    <x v="3"/>
  </r>
  <r>
    <x v="2"/>
    <x v="5"/>
    <x v="7"/>
    <x v="0"/>
    <n v="77"/>
    <n v="22"/>
    <x v="188"/>
  </r>
  <r>
    <x v="2"/>
    <x v="5"/>
    <x v="7"/>
    <x v="1"/>
    <n v="69"/>
    <n v="43"/>
    <x v="33"/>
  </r>
  <r>
    <x v="2"/>
    <x v="6"/>
    <x v="0"/>
    <x v="0"/>
    <n v="207"/>
    <n v="107"/>
    <x v="146"/>
  </r>
  <r>
    <x v="2"/>
    <x v="6"/>
    <x v="0"/>
    <x v="1"/>
    <n v="232"/>
    <n v="84"/>
    <x v="61"/>
  </r>
  <r>
    <x v="2"/>
    <x v="6"/>
    <x v="1"/>
    <x v="0"/>
    <n v="239"/>
    <n v="82"/>
    <x v="137"/>
  </r>
  <r>
    <x v="2"/>
    <x v="6"/>
    <x v="1"/>
    <x v="1"/>
    <n v="241"/>
    <n v="56"/>
    <x v="189"/>
  </r>
  <r>
    <x v="2"/>
    <x v="6"/>
    <x v="2"/>
    <x v="0"/>
    <n v="157"/>
    <n v="96"/>
    <x v="190"/>
  </r>
  <r>
    <x v="2"/>
    <x v="6"/>
    <x v="2"/>
    <x v="1"/>
    <n v="158"/>
    <n v="18"/>
    <x v="191"/>
  </r>
  <r>
    <x v="2"/>
    <x v="6"/>
    <x v="3"/>
    <x v="0"/>
    <n v="123"/>
    <n v="78"/>
    <x v="124"/>
  </r>
  <r>
    <x v="2"/>
    <x v="6"/>
    <x v="3"/>
    <x v="1"/>
    <n v="251"/>
    <n v="81"/>
    <x v="81"/>
  </r>
  <r>
    <x v="2"/>
    <x v="6"/>
    <x v="4"/>
    <x v="0"/>
    <n v="146"/>
    <n v="107"/>
    <x v="190"/>
  </r>
  <r>
    <x v="2"/>
    <x v="6"/>
    <x v="4"/>
    <x v="1"/>
    <n v="245"/>
    <n v="110"/>
    <x v="192"/>
  </r>
  <r>
    <x v="2"/>
    <x v="6"/>
    <x v="5"/>
    <x v="0"/>
    <n v="62"/>
    <n v="34"/>
    <x v="71"/>
  </r>
  <r>
    <x v="2"/>
    <x v="6"/>
    <x v="5"/>
    <x v="1"/>
    <n v="240"/>
    <n v="38"/>
    <x v="94"/>
  </r>
  <r>
    <x v="2"/>
    <x v="6"/>
    <x v="6"/>
    <x v="0"/>
    <n v="214"/>
    <n v="15"/>
    <x v="193"/>
  </r>
  <r>
    <x v="2"/>
    <x v="6"/>
    <x v="6"/>
    <x v="1"/>
    <n v="129"/>
    <n v="27"/>
    <x v="121"/>
  </r>
  <r>
    <x v="2"/>
    <x v="6"/>
    <x v="7"/>
    <x v="0"/>
    <n v="187"/>
    <n v="91"/>
    <x v="94"/>
  </r>
  <r>
    <x v="2"/>
    <x v="6"/>
    <x v="7"/>
    <x v="1"/>
    <n v="58"/>
    <n v="72"/>
    <x v="135"/>
  </r>
  <r>
    <x v="2"/>
    <x v="7"/>
    <x v="0"/>
    <x v="0"/>
    <n v="98"/>
    <n v="41"/>
    <x v="164"/>
  </r>
  <r>
    <x v="2"/>
    <x v="7"/>
    <x v="0"/>
    <x v="1"/>
    <n v="121"/>
    <n v="13"/>
    <x v="194"/>
  </r>
  <r>
    <x v="2"/>
    <x v="7"/>
    <x v="1"/>
    <x v="0"/>
    <n v="174"/>
    <n v="12"/>
    <x v="28"/>
  </r>
  <r>
    <x v="2"/>
    <x v="7"/>
    <x v="1"/>
    <x v="1"/>
    <n v="228"/>
    <n v="85"/>
    <x v="110"/>
  </r>
  <r>
    <x v="2"/>
    <x v="7"/>
    <x v="2"/>
    <x v="0"/>
    <n v="193"/>
    <n v="108"/>
    <x v="22"/>
  </r>
  <r>
    <x v="2"/>
    <x v="7"/>
    <x v="2"/>
    <x v="1"/>
    <n v="154"/>
    <n v="51"/>
    <x v="13"/>
  </r>
  <r>
    <x v="2"/>
    <x v="7"/>
    <x v="3"/>
    <x v="0"/>
    <n v="192"/>
    <n v="51"/>
    <x v="37"/>
  </r>
  <r>
    <x v="2"/>
    <x v="7"/>
    <x v="3"/>
    <x v="1"/>
    <n v="160"/>
    <n v="96"/>
    <x v="195"/>
  </r>
  <r>
    <x v="2"/>
    <x v="7"/>
    <x v="4"/>
    <x v="0"/>
    <n v="92"/>
    <n v="27"/>
    <x v="138"/>
  </r>
  <r>
    <x v="2"/>
    <x v="7"/>
    <x v="4"/>
    <x v="1"/>
    <n v="127"/>
    <n v="31"/>
    <x v="27"/>
  </r>
  <r>
    <x v="2"/>
    <x v="7"/>
    <x v="5"/>
    <x v="0"/>
    <n v="139"/>
    <n v="89"/>
    <x v="96"/>
  </r>
  <r>
    <x v="2"/>
    <x v="7"/>
    <x v="5"/>
    <x v="1"/>
    <n v="208"/>
    <n v="61"/>
    <x v="196"/>
  </r>
  <r>
    <x v="2"/>
    <x v="7"/>
    <x v="6"/>
    <x v="0"/>
    <n v="200"/>
    <n v="47"/>
    <x v="76"/>
  </r>
  <r>
    <x v="2"/>
    <x v="7"/>
    <x v="6"/>
    <x v="1"/>
    <n v="176"/>
    <n v="84"/>
    <x v="197"/>
  </r>
  <r>
    <x v="2"/>
    <x v="7"/>
    <x v="7"/>
    <x v="0"/>
    <n v="41"/>
    <n v="13"/>
    <x v="198"/>
  </r>
  <r>
    <x v="2"/>
    <x v="7"/>
    <x v="7"/>
    <x v="1"/>
    <n v="126"/>
    <n v="38"/>
    <x v="101"/>
  </r>
  <r>
    <x v="3"/>
    <x v="0"/>
    <x v="0"/>
    <x v="0"/>
    <n v="98"/>
    <n v="96"/>
    <x v="36"/>
  </r>
  <r>
    <x v="3"/>
    <x v="0"/>
    <x v="0"/>
    <x v="1"/>
    <n v="172"/>
    <n v="88"/>
    <x v="197"/>
  </r>
  <r>
    <x v="3"/>
    <x v="0"/>
    <x v="1"/>
    <x v="0"/>
    <n v="221"/>
    <n v="32"/>
    <x v="190"/>
  </r>
  <r>
    <x v="3"/>
    <x v="0"/>
    <x v="1"/>
    <x v="1"/>
    <n v="235"/>
    <n v="81"/>
    <x v="61"/>
  </r>
  <r>
    <x v="3"/>
    <x v="0"/>
    <x v="2"/>
    <x v="0"/>
    <n v="114"/>
    <n v="50"/>
    <x v="101"/>
  </r>
  <r>
    <x v="3"/>
    <x v="0"/>
    <x v="2"/>
    <x v="1"/>
    <n v="158"/>
    <n v="26"/>
    <x v="77"/>
  </r>
  <r>
    <x v="3"/>
    <x v="0"/>
    <x v="3"/>
    <x v="0"/>
    <n v="102"/>
    <n v="63"/>
    <x v="80"/>
  </r>
  <r>
    <x v="3"/>
    <x v="0"/>
    <x v="3"/>
    <x v="1"/>
    <n v="71"/>
    <n v="84"/>
    <x v="158"/>
  </r>
  <r>
    <x v="3"/>
    <x v="0"/>
    <x v="4"/>
    <x v="0"/>
    <n v="62"/>
    <n v="57"/>
    <x v="138"/>
  </r>
  <r>
    <x v="3"/>
    <x v="0"/>
    <x v="4"/>
    <x v="1"/>
    <n v="65"/>
    <n v="88"/>
    <x v="199"/>
  </r>
  <r>
    <x v="3"/>
    <x v="0"/>
    <x v="5"/>
    <x v="0"/>
    <n v="54"/>
    <n v="42"/>
    <x v="71"/>
  </r>
  <r>
    <x v="3"/>
    <x v="0"/>
    <x v="5"/>
    <x v="1"/>
    <n v="182"/>
    <n v="39"/>
    <x v="30"/>
  </r>
  <r>
    <x v="3"/>
    <x v="0"/>
    <x v="6"/>
    <x v="0"/>
    <n v="144"/>
    <n v="110"/>
    <x v="200"/>
  </r>
  <r>
    <x v="3"/>
    <x v="0"/>
    <x v="6"/>
    <x v="1"/>
    <n v="112"/>
    <n v="82"/>
    <x v="36"/>
  </r>
  <r>
    <x v="3"/>
    <x v="0"/>
    <x v="7"/>
    <x v="0"/>
    <n v="170"/>
    <n v="88"/>
    <x v="201"/>
  </r>
  <r>
    <x v="3"/>
    <x v="0"/>
    <x v="7"/>
    <x v="1"/>
    <n v="196"/>
    <n v="50"/>
    <x v="74"/>
  </r>
  <r>
    <x v="3"/>
    <x v="1"/>
    <x v="0"/>
    <x v="0"/>
    <n v="228"/>
    <n v="76"/>
    <x v="202"/>
  </r>
  <r>
    <x v="3"/>
    <x v="1"/>
    <x v="0"/>
    <x v="1"/>
    <n v="239"/>
    <n v="82"/>
    <x v="137"/>
  </r>
  <r>
    <x v="3"/>
    <x v="1"/>
    <x v="1"/>
    <x v="0"/>
    <n v="219"/>
    <n v="107"/>
    <x v="203"/>
  </r>
  <r>
    <x v="3"/>
    <x v="1"/>
    <x v="1"/>
    <x v="1"/>
    <n v="205"/>
    <n v="47"/>
    <x v="111"/>
  </r>
  <r>
    <x v="3"/>
    <x v="1"/>
    <x v="2"/>
    <x v="0"/>
    <n v="129"/>
    <n v="40"/>
    <x v="58"/>
  </r>
  <r>
    <x v="3"/>
    <x v="1"/>
    <x v="2"/>
    <x v="1"/>
    <n v="48"/>
    <n v="48"/>
    <x v="71"/>
  </r>
  <r>
    <x v="3"/>
    <x v="1"/>
    <x v="3"/>
    <x v="0"/>
    <n v="177"/>
    <n v="90"/>
    <x v="204"/>
  </r>
  <r>
    <x v="3"/>
    <x v="1"/>
    <x v="3"/>
    <x v="1"/>
    <n v="83"/>
    <n v="83"/>
    <x v="53"/>
  </r>
  <r>
    <x v="3"/>
    <x v="1"/>
    <x v="4"/>
    <x v="0"/>
    <n v="138"/>
    <n v="106"/>
    <x v="83"/>
  </r>
  <r>
    <x v="3"/>
    <x v="1"/>
    <x v="4"/>
    <x v="1"/>
    <n v="77"/>
    <n v="10"/>
    <x v="205"/>
  </r>
  <r>
    <x v="3"/>
    <x v="1"/>
    <x v="5"/>
    <x v="0"/>
    <n v="157"/>
    <n v="10"/>
    <x v="206"/>
  </r>
  <r>
    <x v="3"/>
    <x v="1"/>
    <x v="5"/>
    <x v="1"/>
    <n v="128"/>
    <n v="62"/>
    <x v="114"/>
  </r>
  <r>
    <x v="3"/>
    <x v="1"/>
    <x v="6"/>
    <x v="0"/>
    <n v="220"/>
    <n v="92"/>
    <x v="207"/>
  </r>
  <r>
    <x v="3"/>
    <x v="1"/>
    <x v="6"/>
    <x v="1"/>
    <n v="105"/>
    <n v="25"/>
    <x v="135"/>
  </r>
  <r>
    <x v="3"/>
    <x v="1"/>
    <x v="7"/>
    <x v="0"/>
    <n v="260"/>
    <n v="101"/>
    <x v="208"/>
  </r>
  <r>
    <x v="3"/>
    <x v="1"/>
    <x v="7"/>
    <x v="1"/>
    <n v="42"/>
    <n v="45"/>
    <x v="205"/>
  </r>
  <r>
    <x v="3"/>
    <x v="2"/>
    <x v="0"/>
    <x v="0"/>
    <n v="151"/>
    <n v="59"/>
    <x v="57"/>
  </r>
  <r>
    <x v="3"/>
    <x v="2"/>
    <x v="0"/>
    <x v="1"/>
    <n v="258"/>
    <n v="60"/>
    <x v="51"/>
  </r>
  <r>
    <x v="3"/>
    <x v="2"/>
    <x v="1"/>
    <x v="0"/>
    <n v="215"/>
    <n v="13"/>
    <x v="96"/>
  </r>
  <r>
    <x v="3"/>
    <x v="2"/>
    <x v="1"/>
    <x v="1"/>
    <n v="153"/>
    <n v="94"/>
    <x v="76"/>
  </r>
  <r>
    <x v="3"/>
    <x v="2"/>
    <x v="2"/>
    <x v="0"/>
    <n v="130"/>
    <n v="97"/>
    <x v="209"/>
  </r>
  <r>
    <x v="3"/>
    <x v="2"/>
    <x v="2"/>
    <x v="1"/>
    <n v="174"/>
    <n v="83"/>
    <x v="106"/>
  </r>
  <r>
    <x v="3"/>
    <x v="2"/>
    <x v="3"/>
    <x v="0"/>
    <n v="172"/>
    <n v="36"/>
    <x v="87"/>
  </r>
  <r>
    <x v="3"/>
    <x v="2"/>
    <x v="3"/>
    <x v="1"/>
    <n v="247"/>
    <n v="110"/>
    <x v="210"/>
  </r>
  <r>
    <x v="3"/>
    <x v="2"/>
    <x v="4"/>
    <x v="0"/>
    <n v="189"/>
    <n v="75"/>
    <x v="211"/>
  </r>
  <r>
    <x v="3"/>
    <x v="2"/>
    <x v="4"/>
    <x v="1"/>
    <n v="140"/>
    <n v="54"/>
    <x v="36"/>
  </r>
  <r>
    <x v="3"/>
    <x v="2"/>
    <x v="5"/>
    <x v="0"/>
    <n v="161"/>
    <n v="33"/>
    <x v="36"/>
  </r>
  <r>
    <x v="3"/>
    <x v="2"/>
    <x v="5"/>
    <x v="1"/>
    <n v="232"/>
    <n v="66"/>
    <x v="212"/>
  </r>
  <r>
    <x v="3"/>
    <x v="2"/>
    <x v="6"/>
    <x v="0"/>
    <n v="53"/>
    <n v="96"/>
    <x v="213"/>
  </r>
  <r>
    <x v="3"/>
    <x v="2"/>
    <x v="6"/>
    <x v="1"/>
    <n v="77"/>
    <n v="22"/>
    <x v="188"/>
  </r>
  <r>
    <x v="3"/>
    <x v="2"/>
    <x v="7"/>
    <x v="0"/>
    <n v="174"/>
    <n v="72"/>
    <x v="74"/>
  </r>
  <r>
    <x v="3"/>
    <x v="2"/>
    <x v="7"/>
    <x v="1"/>
    <n v="201"/>
    <n v="67"/>
    <x v="214"/>
  </r>
  <r>
    <x v="3"/>
    <x v="3"/>
    <x v="0"/>
    <x v="0"/>
    <n v="258"/>
    <n v="12"/>
    <x v="215"/>
  </r>
  <r>
    <x v="3"/>
    <x v="3"/>
    <x v="0"/>
    <x v="1"/>
    <n v="155"/>
    <n v="35"/>
    <x v="114"/>
  </r>
  <r>
    <x v="3"/>
    <x v="3"/>
    <x v="1"/>
    <x v="0"/>
    <n v="171"/>
    <n v="54"/>
    <x v="133"/>
  </r>
  <r>
    <x v="3"/>
    <x v="3"/>
    <x v="1"/>
    <x v="1"/>
    <n v="240"/>
    <n v="56"/>
    <x v="11"/>
  </r>
  <r>
    <x v="3"/>
    <x v="3"/>
    <x v="2"/>
    <x v="0"/>
    <n v="204"/>
    <n v="16"/>
    <x v="176"/>
  </r>
  <r>
    <x v="3"/>
    <x v="3"/>
    <x v="2"/>
    <x v="1"/>
    <n v="255"/>
    <n v="21"/>
    <x v="149"/>
  </r>
  <r>
    <x v="3"/>
    <x v="3"/>
    <x v="3"/>
    <x v="0"/>
    <n v="128"/>
    <n v="23"/>
    <x v="109"/>
  </r>
  <r>
    <x v="3"/>
    <x v="3"/>
    <x v="3"/>
    <x v="1"/>
    <n v="220"/>
    <n v="87"/>
    <x v="95"/>
  </r>
  <r>
    <x v="3"/>
    <x v="3"/>
    <x v="4"/>
    <x v="0"/>
    <n v="43"/>
    <n v="105"/>
    <x v="93"/>
  </r>
  <r>
    <x v="3"/>
    <x v="3"/>
    <x v="4"/>
    <x v="1"/>
    <n v="108"/>
    <n v="11"/>
    <x v="138"/>
  </r>
  <r>
    <x v="3"/>
    <x v="3"/>
    <x v="5"/>
    <x v="0"/>
    <n v="260"/>
    <n v="89"/>
    <x v="216"/>
  </r>
  <r>
    <x v="3"/>
    <x v="3"/>
    <x v="5"/>
    <x v="1"/>
    <n v="84"/>
    <n v="52"/>
    <x v="217"/>
  </r>
  <r>
    <x v="3"/>
    <x v="3"/>
    <x v="6"/>
    <x v="0"/>
    <n v="216"/>
    <n v="66"/>
    <x v="46"/>
  </r>
  <r>
    <x v="3"/>
    <x v="3"/>
    <x v="6"/>
    <x v="1"/>
    <n v="191"/>
    <n v="73"/>
    <x v="211"/>
  </r>
  <r>
    <x v="3"/>
    <x v="3"/>
    <x v="7"/>
    <x v="0"/>
    <n v="183"/>
    <n v="23"/>
    <x v="119"/>
  </r>
  <r>
    <x v="3"/>
    <x v="3"/>
    <x v="7"/>
    <x v="1"/>
    <n v="98"/>
    <n v="12"/>
    <x v="218"/>
  </r>
  <r>
    <x v="3"/>
    <x v="4"/>
    <x v="0"/>
    <x v="0"/>
    <n v="126"/>
    <n v="51"/>
    <x v="219"/>
  </r>
  <r>
    <x v="3"/>
    <x v="4"/>
    <x v="0"/>
    <x v="1"/>
    <n v="138"/>
    <n v="83"/>
    <x v="30"/>
  </r>
  <r>
    <x v="3"/>
    <x v="4"/>
    <x v="1"/>
    <x v="0"/>
    <n v="189"/>
    <n v="24"/>
    <x v="7"/>
  </r>
  <r>
    <x v="3"/>
    <x v="4"/>
    <x v="1"/>
    <x v="1"/>
    <n v="255"/>
    <n v="94"/>
    <x v="216"/>
  </r>
  <r>
    <x v="3"/>
    <x v="4"/>
    <x v="2"/>
    <x v="0"/>
    <n v="147"/>
    <n v="20"/>
    <x v="206"/>
  </r>
  <r>
    <x v="3"/>
    <x v="4"/>
    <x v="2"/>
    <x v="1"/>
    <n v="249"/>
    <n v="79"/>
    <x v="141"/>
  </r>
  <r>
    <x v="3"/>
    <x v="4"/>
    <x v="3"/>
    <x v="0"/>
    <n v="142"/>
    <n v="83"/>
    <x v="133"/>
  </r>
  <r>
    <x v="3"/>
    <x v="4"/>
    <x v="3"/>
    <x v="1"/>
    <n v="177"/>
    <n v="64"/>
    <x v="220"/>
  </r>
  <r>
    <x v="3"/>
    <x v="4"/>
    <x v="4"/>
    <x v="0"/>
    <n v="108"/>
    <n v="21"/>
    <x v="142"/>
  </r>
  <r>
    <x v="3"/>
    <x v="4"/>
    <x v="4"/>
    <x v="1"/>
    <n v="158"/>
    <n v="48"/>
    <x v="119"/>
  </r>
  <r>
    <x v="3"/>
    <x v="4"/>
    <x v="5"/>
    <x v="0"/>
    <n v="146"/>
    <n v="98"/>
    <x v="83"/>
  </r>
  <r>
    <x v="3"/>
    <x v="4"/>
    <x v="5"/>
    <x v="1"/>
    <n v="144"/>
    <n v="65"/>
    <x v="130"/>
  </r>
  <r>
    <x v="3"/>
    <x v="4"/>
    <x v="6"/>
    <x v="0"/>
    <n v="131"/>
    <n v="44"/>
    <x v="99"/>
  </r>
  <r>
    <x v="3"/>
    <x v="4"/>
    <x v="6"/>
    <x v="1"/>
    <n v="214"/>
    <n v="61"/>
    <x v="171"/>
  </r>
  <r>
    <x v="3"/>
    <x v="4"/>
    <x v="7"/>
    <x v="0"/>
    <n v="212"/>
    <n v="46"/>
    <x v="201"/>
  </r>
  <r>
    <x v="3"/>
    <x v="4"/>
    <x v="7"/>
    <x v="1"/>
    <n v="115"/>
    <n v="10"/>
    <x v="221"/>
  </r>
  <r>
    <x v="3"/>
    <x v="5"/>
    <x v="0"/>
    <x v="0"/>
    <n v="44"/>
    <n v="95"/>
    <x v="164"/>
  </r>
  <r>
    <x v="3"/>
    <x v="5"/>
    <x v="0"/>
    <x v="1"/>
    <n v="125"/>
    <n v="80"/>
    <x v="13"/>
  </r>
  <r>
    <x v="3"/>
    <x v="5"/>
    <x v="1"/>
    <x v="0"/>
    <n v="149"/>
    <n v="31"/>
    <x v="54"/>
  </r>
  <r>
    <x v="3"/>
    <x v="5"/>
    <x v="1"/>
    <x v="1"/>
    <n v="77"/>
    <n v="14"/>
    <x v="147"/>
  </r>
  <r>
    <x v="3"/>
    <x v="5"/>
    <x v="2"/>
    <x v="0"/>
    <n v="55"/>
    <n v="21"/>
    <x v="222"/>
  </r>
  <r>
    <x v="3"/>
    <x v="5"/>
    <x v="2"/>
    <x v="1"/>
    <n v="253"/>
    <n v="94"/>
    <x v="223"/>
  </r>
  <r>
    <x v="3"/>
    <x v="5"/>
    <x v="3"/>
    <x v="0"/>
    <n v="164"/>
    <n v="49"/>
    <x v="7"/>
  </r>
  <r>
    <x v="3"/>
    <x v="5"/>
    <x v="3"/>
    <x v="1"/>
    <n v="79"/>
    <n v="12"/>
    <x v="147"/>
  </r>
  <r>
    <x v="3"/>
    <x v="5"/>
    <x v="4"/>
    <x v="0"/>
    <n v="60"/>
    <n v="100"/>
    <x v="23"/>
  </r>
  <r>
    <x v="3"/>
    <x v="5"/>
    <x v="4"/>
    <x v="1"/>
    <n v="92"/>
    <n v="78"/>
    <x v="174"/>
  </r>
  <r>
    <x v="3"/>
    <x v="5"/>
    <x v="5"/>
    <x v="0"/>
    <n v="40"/>
    <n v="79"/>
    <x v="138"/>
  </r>
  <r>
    <x v="3"/>
    <x v="5"/>
    <x v="5"/>
    <x v="1"/>
    <n v="193"/>
    <n v="23"/>
    <x v="2"/>
  </r>
  <r>
    <x v="3"/>
    <x v="5"/>
    <x v="6"/>
    <x v="0"/>
    <n v="239"/>
    <n v="44"/>
    <x v="73"/>
  </r>
  <r>
    <x v="3"/>
    <x v="5"/>
    <x v="6"/>
    <x v="1"/>
    <n v="129"/>
    <n v="83"/>
    <x v="5"/>
  </r>
  <r>
    <x v="3"/>
    <x v="5"/>
    <x v="7"/>
    <x v="0"/>
    <n v="203"/>
    <n v="75"/>
    <x v="94"/>
  </r>
  <r>
    <x v="3"/>
    <x v="5"/>
    <x v="7"/>
    <x v="1"/>
    <n v="232"/>
    <n v="37"/>
    <x v="196"/>
  </r>
  <r>
    <x v="3"/>
    <x v="6"/>
    <x v="0"/>
    <x v="0"/>
    <n v="88"/>
    <n v="45"/>
    <x v="224"/>
  </r>
  <r>
    <x v="3"/>
    <x v="6"/>
    <x v="0"/>
    <x v="1"/>
    <n v="42"/>
    <n v="104"/>
    <x v="43"/>
  </r>
  <r>
    <x v="3"/>
    <x v="6"/>
    <x v="1"/>
    <x v="0"/>
    <n v="179"/>
    <n v="50"/>
    <x v="193"/>
  </r>
  <r>
    <x v="3"/>
    <x v="6"/>
    <x v="1"/>
    <x v="1"/>
    <n v="203"/>
    <n v="22"/>
    <x v="133"/>
  </r>
  <r>
    <x v="3"/>
    <x v="6"/>
    <x v="2"/>
    <x v="0"/>
    <n v="53"/>
    <n v="80"/>
    <x v="224"/>
  </r>
  <r>
    <x v="3"/>
    <x v="6"/>
    <x v="2"/>
    <x v="1"/>
    <n v="55"/>
    <n v="65"/>
    <x v="118"/>
  </r>
  <r>
    <x v="3"/>
    <x v="6"/>
    <x v="3"/>
    <x v="0"/>
    <n v="79"/>
    <n v="61"/>
    <x v="225"/>
  </r>
  <r>
    <x v="3"/>
    <x v="6"/>
    <x v="3"/>
    <x v="1"/>
    <n v="150"/>
    <n v="73"/>
    <x v="148"/>
  </r>
  <r>
    <x v="3"/>
    <x v="6"/>
    <x v="4"/>
    <x v="0"/>
    <n v="235"/>
    <n v="47"/>
    <x v="46"/>
  </r>
  <r>
    <x v="3"/>
    <x v="6"/>
    <x v="4"/>
    <x v="1"/>
    <n v="57"/>
    <n v="67"/>
    <x v="1"/>
  </r>
  <r>
    <x v="3"/>
    <x v="6"/>
    <x v="5"/>
    <x v="0"/>
    <n v="198"/>
    <n v="84"/>
    <x v="46"/>
  </r>
  <r>
    <x v="3"/>
    <x v="6"/>
    <x v="5"/>
    <x v="1"/>
    <n v="175"/>
    <n v="65"/>
    <x v="35"/>
  </r>
  <r>
    <x v="3"/>
    <x v="6"/>
    <x v="6"/>
    <x v="0"/>
    <n v="196"/>
    <n v="43"/>
    <x v="140"/>
  </r>
  <r>
    <x v="3"/>
    <x v="6"/>
    <x v="6"/>
    <x v="1"/>
    <n v="140"/>
    <n v="46"/>
    <x v="28"/>
  </r>
  <r>
    <x v="3"/>
    <x v="6"/>
    <x v="7"/>
    <x v="0"/>
    <n v="219"/>
    <n v="38"/>
    <x v="106"/>
  </r>
  <r>
    <x v="3"/>
    <x v="6"/>
    <x v="7"/>
    <x v="1"/>
    <n v="216"/>
    <n v="49"/>
    <x v="226"/>
  </r>
  <r>
    <x v="3"/>
    <x v="7"/>
    <x v="0"/>
    <x v="0"/>
    <n v="115"/>
    <n v="31"/>
    <x v="43"/>
  </r>
  <r>
    <x v="3"/>
    <x v="7"/>
    <x v="0"/>
    <x v="1"/>
    <n v="95"/>
    <n v="70"/>
    <x v="80"/>
  </r>
  <r>
    <x v="3"/>
    <x v="7"/>
    <x v="1"/>
    <x v="0"/>
    <n v="205"/>
    <n v="74"/>
    <x v="66"/>
  </r>
  <r>
    <x v="3"/>
    <x v="7"/>
    <x v="1"/>
    <x v="1"/>
    <n v="97"/>
    <n v="35"/>
    <x v="123"/>
  </r>
  <r>
    <x v="3"/>
    <x v="7"/>
    <x v="2"/>
    <x v="0"/>
    <n v="146"/>
    <n v="30"/>
    <x v="191"/>
  </r>
  <r>
    <x v="3"/>
    <x v="7"/>
    <x v="2"/>
    <x v="1"/>
    <n v="183"/>
    <n v="106"/>
    <x v="41"/>
  </r>
  <r>
    <x v="3"/>
    <x v="7"/>
    <x v="3"/>
    <x v="0"/>
    <n v="117"/>
    <n v="52"/>
    <x v="58"/>
  </r>
  <r>
    <x v="3"/>
    <x v="7"/>
    <x v="3"/>
    <x v="1"/>
    <n v="237"/>
    <n v="71"/>
    <x v="92"/>
  </r>
  <r>
    <x v="3"/>
    <x v="7"/>
    <x v="4"/>
    <x v="0"/>
    <n v="200"/>
    <n v="109"/>
    <x v="107"/>
  </r>
  <r>
    <x v="3"/>
    <x v="7"/>
    <x v="4"/>
    <x v="1"/>
    <n v="133"/>
    <n v="104"/>
    <x v="88"/>
  </r>
  <r>
    <x v="3"/>
    <x v="7"/>
    <x v="5"/>
    <x v="0"/>
    <n v="212"/>
    <n v="28"/>
    <x v="35"/>
  </r>
  <r>
    <x v="3"/>
    <x v="7"/>
    <x v="5"/>
    <x v="1"/>
    <n v="80"/>
    <n v="103"/>
    <x v="60"/>
  </r>
  <r>
    <x v="3"/>
    <x v="7"/>
    <x v="6"/>
    <x v="0"/>
    <n v="201"/>
    <n v="71"/>
    <x v="157"/>
  </r>
  <r>
    <x v="3"/>
    <x v="7"/>
    <x v="6"/>
    <x v="1"/>
    <n v="50"/>
    <n v="36"/>
    <x v="227"/>
  </r>
  <r>
    <x v="3"/>
    <x v="7"/>
    <x v="7"/>
    <x v="0"/>
    <n v="236"/>
    <n v="25"/>
    <x v="150"/>
  </r>
  <r>
    <x v="3"/>
    <x v="7"/>
    <x v="7"/>
    <x v="1"/>
    <n v="241"/>
    <n v="23"/>
    <x v="211"/>
  </r>
  <r>
    <x v="4"/>
    <x v="0"/>
    <x v="0"/>
    <x v="0"/>
    <n v="185"/>
    <n v="109"/>
    <x v="16"/>
  </r>
  <r>
    <x v="4"/>
    <x v="0"/>
    <x v="0"/>
    <x v="1"/>
    <n v="59"/>
    <n v="53"/>
    <x v="33"/>
  </r>
  <r>
    <x v="4"/>
    <x v="0"/>
    <x v="1"/>
    <x v="0"/>
    <n v="135"/>
    <n v="46"/>
    <x v="228"/>
  </r>
  <r>
    <x v="4"/>
    <x v="0"/>
    <x v="1"/>
    <x v="1"/>
    <n v="64"/>
    <n v="21"/>
    <x v="167"/>
  </r>
  <r>
    <x v="4"/>
    <x v="0"/>
    <x v="2"/>
    <x v="0"/>
    <n v="163"/>
    <n v="18"/>
    <x v="228"/>
  </r>
  <r>
    <x v="4"/>
    <x v="0"/>
    <x v="2"/>
    <x v="1"/>
    <n v="105"/>
    <n v="17"/>
    <x v="79"/>
  </r>
  <r>
    <x v="4"/>
    <x v="0"/>
    <x v="3"/>
    <x v="0"/>
    <n v="221"/>
    <n v="80"/>
    <x v="22"/>
  </r>
  <r>
    <x v="4"/>
    <x v="0"/>
    <x v="3"/>
    <x v="1"/>
    <n v="206"/>
    <n v="76"/>
    <x v="46"/>
  </r>
  <r>
    <x v="4"/>
    <x v="0"/>
    <x v="4"/>
    <x v="0"/>
    <n v="119"/>
    <n v="85"/>
    <x v="182"/>
  </r>
  <r>
    <x v="4"/>
    <x v="0"/>
    <x v="4"/>
    <x v="1"/>
    <n v="74"/>
    <n v="50"/>
    <x v="1"/>
  </r>
  <r>
    <x v="4"/>
    <x v="0"/>
    <x v="5"/>
    <x v="0"/>
    <n v="144"/>
    <n v="104"/>
    <x v="229"/>
  </r>
  <r>
    <x v="4"/>
    <x v="0"/>
    <x v="5"/>
    <x v="1"/>
    <n v="88"/>
    <n v="63"/>
    <x v="109"/>
  </r>
  <r>
    <x v="4"/>
    <x v="0"/>
    <x v="6"/>
    <x v="0"/>
    <n v="197"/>
    <n v="66"/>
    <x v="129"/>
  </r>
  <r>
    <x v="4"/>
    <x v="0"/>
    <x v="6"/>
    <x v="1"/>
    <n v="172"/>
    <n v="109"/>
    <x v="47"/>
  </r>
  <r>
    <x v="4"/>
    <x v="0"/>
    <x v="7"/>
    <x v="0"/>
    <n v="126"/>
    <n v="48"/>
    <x v="15"/>
  </r>
  <r>
    <x v="4"/>
    <x v="0"/>
    <x v="7"/>
    <x v="1"/>
    <n v="55"/>
    <n v="45"/>
    <x v="145"/>
  </r>
  <r>
    <x v="4"/>
    <x v="1"/>
    <x v="0"/>
    <x v="0"/>
    <n v="257"/>
    <n v="12"/>
    <x v="196"/>
  </r>
  <r>
    <x v="4"/>
    <x v="1"/>
    <x v="0"/>
    <x v="1"/>
    <n v="225"/>
    <n v="62"/>
    <x v="139"/>
  </r>
  <r>
    <x v="4"/>
    <x v="1"/>
    <x v="1"/>
    <x v="0"/>
    <n v="89"/>
    <n v="64"/>
    <x v="199"/>
  </r>
  <r>
    <x v="4"/>
    <x v="1"/>
    <x v="1"/>
    <x v="1"/>
    <n v="66"/>
    <n v="74"/>
    <x v="225"/>
  </r>
  <r>
    <x v="4"/>
    <x v="1"/>
    <x v="2"/>
    <x v="0"/>
    <n v="100"/>
    <n v="80"/>
    <x v="54"/>
  </r>
  <r>
    <x v="4"/>
    <x v="1"/>
    <x v="2"/>
    <x v="1"/>
    <n v="105"/>
    <n v="90"/>
    <x v="230"/>
  </r>
  <r>
    <x v="4"/>
    <x v="1"/>
    <x v="3"/>
    <x v="0"/>
    <n v="115"/>
    <n v="19"/>
    <x v="194"/>
  </r>
  <r>
    <x v="4"/>
    <x v="1"/>
    <x v="3"/>
    <x v="1"/>
    <n v="128"/>
    <n v="19"/>
    <x v="59"/>
  </r>
  <r>
    <x v="4"/>
    <x v="1"/>
    <x v="4"/>
    <x v="0"/>
    <n v="143"/>
    <n v="90"/>
    <x v="136"/>
  </r>
  <r>
    <x v="4"/>
    <x v="1"/>
    <x v="4"/>
    <x v="1"/>
    <n v="108"/>
    <n v="106"/>
    <x v="175"/>
  </r>
  <r>
    <x v="4"/>
    <x v="1"/>
    <x v="5"/>
    <x v="0"/>
    <n v="78"/>
    <n v="75"/>
    <x v="199"/>
  </r>
  <r>
    <x v="4"/>
    <x v="1"/>
    <x v="5"/>
    <x v="1"/>
    <n v="62"/>
    <n v="109"/>
    <x v="231"/>
  </r>
  <r>
    <x v="4"/>
    <x v="1"/>
    <x v="6"/>
    <x v="0"/>
    <n v="40"/>
    <n v="102"/>
    <x v="85"/>
  </r>
  <r>
    <x v="4"/>
    <x v="1"/>
    <x v="6"/>
    <x v="1"/>
    <n v="151"/>
    <n v="109"/>
    <x v="197"/>
  </r>
  <r>
    <x v="4"/>
    <x v="1"/>
    <x v="7"/>
    <x v="0"/>
    <n v="218"/>
    <n v="21"/>
    <x v="140"/>
  </r>
  <r>
    <x v="4"/>
    <x v="1"/>
    <x v="7"/>
    <x v="1"/>
    <n v="165"/>
    <n v="53"/>
    <x v="55"/>
  </r>
  <r>
    <x v="4"/>
    <x v="2"/>
    <x v="0"/>
    <x v="0"/>
    <n v="196"/>
    <n v="22"/>
    <x v="55"/>
  </r>
  <r>
    <x v="4"/>
    <x v="2"/>
    <x v="0"/>
    <x v="1"/>
    <n v="74"/>
    <n v="40"/>
    <x v="232"/>
  </r>
  <r>
    <x v="4"/>
    <x v="2"/>
    <x v="1"/>
    <x v="0"/>
    <n v="136"/>
    <n v="68"/>
    <x v="182"/>
  </r>
  <r>
    <x v="4"/>
    <x v="2"/>
    <x v="1"/>
    <x v="1"/>
    <n v="180"/>
    <n v="107"/>
    <x v="139"/>
  </r>
  <r>
    <x v="4"/>
    <x v="2"/>
    <x v="2"/>
    <x v="0"/>
    <n v="255"/>
    <n v="25"/>
    <x v="108"/>
  </r>
  <r>
    <x v="4"/>
    <x v="2"/>
    <x v="2"/>
    <x v="1"/>
    <n v="44"/>
    <n v="84"/>
    <x v="233"/>
  </r>
  <r>
    <x v="4"/>
    <x v="2"/>
    <x v="3"/>
    <x v="0"/>
    <n v="135"/>
    <n v="36"/>
    <x v="231"/>
  </r>
  <r>
    <x v="4"/>
    <x v="2"/>
    <x v="3"/>
    <x v="1"/>
    <n v="217"/>
    <n v="72"/>
    <x v="41"/>
  </r>
  <r>
    <x v="4"/>
    <x v="2"/>
    <x v="4"/>
    <x v="0"/>
    <n v="48"/>
    <n v="50"/>
    <x v="234"/>
  </r>
  <r>
    <x v="4"/>
    <x v="2"/>
    <x v="4"/>
    <x v="1"/>
    <n v="167"/>
    <n v="62"/>
    <x v="193"/>
  </r>
  <r>
    <x v="4"/>
    <x v="2"/>
    <x v="5"/>
    <x v="0"/>
    <n v="144"/>
    <n v="44"/>
    <x v="18"/>
  </r>
  <r>
    <x v="4"/>
    <x v="2"/>
    <x v="5"/>
    <x v="1"/>
    <n v="49"/>
    <n v="47"/>
    <x v="71"/>
  </r>
  <r>
    <x v="4"/>
    <x v="2"/>
    <x v="6"/>
    <x v="0"/>
    <n v="174"/>
    <n v="85"/>
    <x v="34"/>
  </r>
  <r>
    <x v="4"/>
    <x v="2"/>
    <x v="6"/>
    <x v="1"/>
    <n v="137"/>
    <n v="17"/>
    <x v="84"/>
  </r>
  <r>
    <x v="4"/>
    <x v="2"/>
    <x v="7"/>
    <x v="0"/>
    <n v="164"/>
    <n v="21"/>
    <x v="3"/>
  </r>
  <r>
    <x v="4"/>
    <x v="2"/>
    <x v="7"/>
    <x v="1"/>
    <n v="118"/>
    <n v="85"/>
    <x v="183"/>
  </r>
  <r>
    <x v="4"/>
    <x v="3"/>
    <x v="0"/>
    <x v="0"/>
    <n v="118"/>
    <n v="50"/>
    <x v="235"/>
  </r>
  <r>
    <x v="4"/>
    <x v="3"/>
    <x v="0"/>
    <x v="1"/>
    <n v="173"/>
    <n v="11"/>
    <x v="77"/>
  </r>
  <r>
    <x v="4"/>
    <x v="3"/>
    <x v="1"/>
    <x v="0"/>
    <n v="137"/>
    <n v="93"/>
    <x v="25"/>
  </r>
  <r>
    <x v="4"/>
    <x v="3"/>
    <x v="1"/>
    <x v="1"/>
    <n v="59"/>
    <n v="43"/>
    <x v="159"/>
  </r>
  <r>
    <x v="4"/>
    <x v="3"/>
    <x v="2"/>
    <x v="0"/>
    <n v="66"/>
    <n v="82"/>
    <x v="93"/>
  </r>
  <r>
    <x v="4"/>
    <x v="3"/>
    <x v="2"/>
    <x v="1"/>
    <n v="248"/>
    <n v="41"/>
    <x v="41"/>
  </r>
  <r>
    <x v="4"/>
    <x v="3"/>
    <x v="3"/>
    <x v="0"/>
    <n v="45"/>
    <n v="11"/>
    <x v="236"/>
  </r>
  <r>
    <x v="4"/>
    <x v="3"/>
    <x v="3"/>
    <x v="1"/>
    <n v="40"/>
    <n v="76"/>
    <x v="237"/>
  </r>
  <r>
    <x v="4"/>
    <x v="3"/>
    <x v="4"/>
    <x v="0"/>
    <n v="197"/>
    <n v="29"/>
    <x v="115"/>
  </r>
  <r>
    <x v="4"/>
    <x v="3"/>
    <x v="4"/>
    <x v="1"/>
    <n v="103"/>
    <n v="13"/>
    <x v="237"/>
  </r>
  <r>
    <x v="4"/>
    <x v="3"/>
    <x v="5"/>
    <x v="0"/>
    <n v="175"/>
    <n v="109"/>
    <x v="238"/>
  </r>
  <r>
    <x v="4"/>
    <x v="3"/>
    <x v="5"/>
    <x v="1"/>
    <n v="234"/>
    <n v="24"/>
    <x v="201"/>
  </r>
  <r>
    <x v="4"/>
    <x v="3"/>
    <x v="6"/>
    <x v="0"/>
    <n v="194"/>
    <n v="68"/>
    <x v="165"/>
  </r>
  <r>
    <x v="4"/>
    <x v="3"/>
    <x v="6"/>
    <x v="1"/>
    <n v="198"/>
    <n v="62"/>
    <x v="197"/>
  </r>
  <r>
    <x v="4"/>
    <x v="3"/>
    <x v="7"/>
    <x v="0"/>
    <n v="53"/>
    <n v="103"/>
    <x v="121"/>
  </r>
  <r>
    <x v="4"/>
    <x v="3"/>
    <x v="7"/>
    <x v="1"/>
    <n v="171"/>
    <n v="21"/>
    <x v="239"/>
  </r>
  <r>
    <x v="4"/>
    <x v="4"/>
    <x v="0"/>
    <x v="0"/>
    <n v="111"/>
    <n v="88"/>
    <x v="104"/>
  </r>
  <r>
    <x v="4"/>
    <x v="4"/>
    <x v="0"/>
    <x v="1"/>
    <n v="147"/>
    <n v="41"/>
    <x v="18"/>
  </r>
  <r>
    <x v="4"/>
    <x v="4"/>
    <x v="1"/>
    <x v="0"/>
    <n v="129"/>
    <n v="66"/>
    <x v="230"/>
  </r>
  <r>
    <x v="4"/>
    <x v="4"/>
    <x v="1"/>
    <x v="1"/>
    <n v="234"/>
    <n v="28"/>
    <x v="165"/>
  </r>
  <r>
    <x v="4"/>
    <x v="4"/>
    <x v="2"/>
    <x v="0"/>
    <n v="231"/>
    <n v="105"/>
    <x v="161"/>
  </r>
  <r>
    <x v="4"/>
    <x v="4"/>
    <x v="2"/>
    <x v="1"/>
    <n v="186"/>
    <n v="98"/>
    <x v="238"/>
  </r>
  <r>
    <x v="4"/>
    <x v="4"/>
    <x v="3"/>
    <x v="0"/>
    <n v="136"/>
    <n v="97"/>
    <x v="136"/>
  </r>
  <r>
    <x v="4"/>
    <x v="4"/>
    <x v="3"/>
    <x v="1"/>
    <n v="166"/>
    <n v="15"/>
    <x v="228"/>
  </r>
  <r>
    <x v="4"/>
    <x v="4"/>
    <x v="4"/>
    <x v="0"/>
    <n v="96"/>
    <n v="100"/>
    <x v="44"/>
  </r>
  <r>
    <x v="4"/>
    <x v="4"/>
    <x v="4"/>
    <x v="1"/>
    <n v="183"/>
    <n v="16"/>
    <x v="104"/>
  </r>
  <r>
    <x v="4"/>
    <x v="4"/>
    <x v="5"/>
    <x v="0"/>
    <n v="74"/>
    <n v="20"/>
    <x v="12"/>
  </r>
  <r>
    <x v="4"/>
    <x v="4"/>
    <x v="5"/>
    <x v="1"/>
    <n v="247"/>
    <n v="92"/>
    <x v="240"/>
  </r>
  <r>
    <x v="4"/>
    <x v="4"/>
    <x v="6"/>
    <x v="0"/>
    <n v="258"/>
    <n v="20"/>
    <x v="94"/>
  </r>
  <r>
    <x v="4"/>
    <x v="4"/>
    <x v="6"/>
    <x v="1"/>
    <n v="210"/>
    <n v="74"/>
    <x v="238"/>
  </r>
  <r>
    <x v="4"/>
    <x v="4"/>
    <x v="7"/>
    <x v="0"/>
    <n v="108"/>
    <n v="53"/>
    <x v="26"/>
  </r>
  <r>
    <x v="4"/>
    <x v="4"/>
    <x v="7"/>
    <x v="1"/>
    <n v="190"/>
    <n v="31"/>
    <x v="30"/>
  </r>
  <r>
    <x v="4"/>
    <x v="5"/>
    <x v="0"/>
    <x v="0"/>
    <n v="179"/>
    <n v="14"/>
    <x v="128"/>
  </r>
  <r>
    <x v="4"/>
    <x v="5"/>
    <x v="0"/>
    <x v="1"/>
    <n v="128"/>
    <n v="59"/>
    <x v="179"/>
  </r>
  <r>
    <x v="4"/>
    <x v="5"/>
    <x v="1"/>
    <x v="0"/>
    <n v="70"/>
    <n v="40"/>
    <x v="218"/>
  </r>
  <r>
    <x v="4"/>
    <x v="5"/>
    <x v="1"/>
    <x v="1"/>
    <n v="50"/>
    <n v="91"/>
    <x v="31"/>
  </r>
  <r>
    <x v="4"/>
    <x v="5"/>
    <x v="2"/>
    <x v="0"/>
    <n v="56"/>
    <n v="20"/>
    <x v="222"/>
  </r>
  <r>
    <x v="4"/>
    <x v="5"/>
    <x v="2"/>
    <x v="1"/>
    <n v="115"/>
    <n v="12"/>
    <x v="241"/>
  </r>
  <r>
    <x v="4"/>
    <x v="5"/>
    <x v="3"/>
    <x v="0"/>
    <n v="140"/>
    <n v="96"/>
    <x v="173"/>
  </r>
  <r>
    <x v="4"/>
    <x v="5"/>
    <x v="3"/>
    <x v="1"/>
    <n v="57"/>
    <n v="88"/>
    <x v="17"/>
  </r>
  <r>
    <x v="4"/>
    <x v="5"/>
    <x v="4"/>
    <x v="0"/>
    <n v="166"/>
    <n v="102"/>
    <x v="214"/>
  </r>
  <r>
    <x v="4"/>
    <x v="5"/>
    <x v="4"/>
    <x v="1"/>
    <n v="156"/>
    <n v="40"/>
    <x v="44"/>
  </r>
  <r>
    <x v="4"/>
    <x v="5"/>
    <x v="5"/>
    <x v="0"/>
    <n v="180"/>
    <n v="61"/>
    <x v="220"/>
  </r>
  <r>
    <x v="4"/>
    <x v="5"/>
    <x v="5"/>
    <x v="1"/>
    <n v="185"/>
    <n v="104"/>
    <x v="41"/>
  </r>
  <r>
    <x v="4"/>
    <x v="5"/>
    <x v="6"/>
    <x v="0"/>
    <n v="43"/>
    <n v="106"/>
    <x v="213"/>
  </r>
  <r>
    <x v="4"/>
    <x v="5"/>
    <x v="6"/>
    <x v="1"/>
    <n v="181"/>
    <n v="55"/>
    <x v="173"/>
  </r>
  <r>
    <x v="4"/>
    <x v="5"/>
    <x v="7"/>
    <x v="0"/>
    <n v="182"/>
    <n v="88"/>
    <x v="215"/>
  </r>
  <r>
    <x v="4"/>
    <x v="5"/>
    <x v="7"/>
    <x v="1"/>
    <n v="183"/>
    <n v="34"/>
    <x v="19"/>
  </r>
  <r>
    <x v="4"/>
    <x v="6"/>
    <x v="0"/>
    <x v="0"/>
    <n v="163"/>
    <n v="69"/>
    <x v="242"/>
  </r>
  <r>
    <x v="4"/>
    <x v="6"/>
    <x v="0"/>
    <x v="1"/>
    <n v="207"/>
    <n v="33"/>
    <x v="35"/>
  </r>
  <r>
    <x v="4"/>
    <x v="6"/>
    <x v="1"/>
    <x v="0"/>
    <n v="179"/>
    <n v="110"/>
    <x v="41"/>
  </r>
  <r>
    <x v="4"/>
    <x v="6"/>
    <x v="1"/>
    <x v="1"/>
    <n v="179"/>
    <n v="88"/>
    <x v="204"/>
  </r>
  <r>
    <x v="4"/>
    <x v="6"/>
    <x v="2"/>
    <x v="0"/>
    <n v="45"/>
    <n v="78"/>
    <x v="0"/>
  </r>
  <r>
    <x v="4"/>
    <x v="6"/>
    <x v="2"/>
    <x v="1"/>
    <n v="125"/>
    <n v="28"/>
    <x v="199"/>
  </r>
  <r>
    <x v="4"/>
    <x v="6"/>
    <x v="3"/>
    <x v="0"/>
    <n v="99"/>
    <n v="54"/>
    <x v="199"/>
  </r>
  <r>
    <x v="4"/>
    <x v="6"/>
    <x v="3"/>
    <x v="1"/>
    <n v="83"/>
    <n v="81"/>
    <x v="101"/>
  </r>
  <r>
    <x v="4"/>
    <x v="6"/>
    <x v="4"/>
    <x v="0"/>
    <n v="93"/>
    <n v="13"/>
    <x v="243"/>
  </r>
  <r>
    <x v="4"/>
    <x v="6"/>
    <x v="4"/>
    <x v="1"/>
    <n v="117"/>
    <n v="100"/>
    <x v="19"/>
  </r>
  <r>
    <x v="4"/>
    <x v="6"/>
    <x v="5"/>
    <x v="0"/>
    <n v="126"/>
    <n v="108"/>
    <x v="45"/>
  </r>
  <r>
    <x v="4"/>
    <x v="6"/>
    <x v="5"/>
    <x v="1"/>
    <n v="126"/>
    <n v="80"/>
    <x v="119"/>
  </r>
  <r>
    <x v="4"/>
    <x v="6"/>
    <x v="6"/>
    <x v="0"/>
    <n v="198"/>
    <n v="43"/>
    <x v="220"/>
  </r>
  <r>
    <x v="4"/>
    <x v="6"/>
    <x v="6"/>
    <x v="1"/>
    <n v="208"/>
    <n v="59"/>
    <x v="204"/>
  </r>
  <r>
    <x v="4"/>
    <x v="6"/>
    <x v="7"/>
    <x v="0"/>
    <n v="93"/>
    <n v="58"/>
    <x v="109"/>
  </r>
  <r>
    <x v="4"/>
    <x v="6"/>
    <x v="7"/>
    <x v="1"/>
    <n v="69"/>
    <n v="106"/>
    <x v="99"/>
  </r>
  <r>
    <x v="4"/>
    <x v="7"/>
    <x v="0"/>
    <x v="0"/>
    <n v="213"/>
    <n v="37"/>
    <x v="69"/>
  </r>
  <r>
    <x v="4"/>
    <x v="7"/>
    <x v="0"/>
    <x v="1"/>
    <n v="86"/>
    <n v="74"/>
    <x v="23"/>
  </r>
  <r>
    <x v="4"/>
    <x v="7"/>
    <x v="1"/>
    <x v="0"/>
    <n v="113"/>
    <n v="105"/>
    <x v="55"/>
  </r>
  <r>
    <x v="4"/>
    <x v="7"/>
    <x v="1"/>
    <x v="1"/>
    <n v="144"/>
    <n v="99"/>
    <x v="37"/>
  </r>
  <r>
    <x v="4"/>
    <x v="7"/>
    <x v="2"/>
    <x v="0"/>
    <n v="89"/>
    <n v="94"/>
    <x v="60"/>
  </r>
  <r>
    <x v="4"/>
    <x v="7"/>
    <x v="2"/>
    <x v="1"/>
    <n v="122"/>
    <n v="76"/>
    <x v="72"/>
  </r>
  <r>
    <x v="4"/>
    <x v="7"/>
    <x v="3"/>
    <x v="0"/>
    <n v="184"/>
    <n v="18"/>
    <x v="169"/>
  </r>
  <r>
    <x v="4"/>
    <x v="7"/>
    <x v="3"/>
    <x v="1"/>
    <n v="151"/>
    <n v="32"/>
    <x v="60"/>
  </r>
  <r>
    <x v="4"/>
    <x v="7"/>
    <x v="4"/>
    <x v="0"/>
    <n v="125"/>
    <n v="63"/>
    <x v="18"/>
  </r>
  <r>
    <x v="4"/>
    <x v="7"/>
    <x v="4"/>
    <x v="1"/>
    <n v="75"/>
    <n v="106"/>
    <x v="228"/>
  </r>
  <r>
    <x v="4"/>
    <x v="7"/>
    <x v="5"/>
    <x v="0"/>
    <n v="248"/>
    <n v="101"/>
    <x v="216"/>
  </r>
  <r>
    <x v="4"/>
    <x v="7"/>
    <x v="5"/>
    <x v="1"/>
    <n v="86"/>
    <n v="34"/>
    <x v="118"/>
  </r>
  <r>
    <x v="4"/>
    <x v="7"/>
    <x v="6"/>
    <x v="0"/>
    <n v="93"/>
    <n v="20"/>
    <x v="184"/>
  </r>
  <r>
    <x v="4"/>
    <x v="7"/>
    <x v="6"/>
    <x v="1"/>
    <n v="139"/>
    <n v="48"/>
    <x v="179"/>
  </r>
  <r>
    <x v="4"/>
    <x v="7"/>
    <x v="7"/>
    <x v="0"/>
    <n v="181"/>
    <n v="14"/>
    <x v="230"/>
  </r>
  <r>
    <x v="4"/>
    <x v="7"/>
    <x v="7"/>
    <x v="1"/>
    <n v="119"/>
    <n v="30"/>
    <x v="2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DBC2D3-1853-4431-85CA-B59225F9208C}" name="PivotTable1" cacheId="1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1:D25" firstHeaderRow="0" firstDataRow="1" firstDataCol="1"/>
  <pivotFields count="5">
    <pivotField axis="axisRow" showAll="0">
      <items count="6">
        <item x="3"/>
        <item x="4"/>
        <item x="0"/>
        <item x="1"/>
        <item x="2"/>
        <item t="default"/>
      </items>
    </pivotField>
    <pivotField axis="axisRow" showAll="0">
      <items count="9">
        <item x="3"/>
        <item x="5"/>
        <item x="4"/>
        <item x="1"/>
        <item x="7"/>
        <item x="6"/>
        <item x="2"/>
        <item x="0"/>
        <item t="default"/>
      </items>
    </pivotField>
    <pivotField dataField="1" showAll="0">
      <items count="7">
        <item x="0"/>
        <item x="2"/>
        <item x="3"/>
        <item x="1"/>
        <item x="5"/>
        <item x="4"/>
        <item t="default"/>
      </items>
    </pivotField>
    <pivotField dataField="1" showAll="0"/>
    <pivotField dataField="1" showAll="0"/>
  </pivotFields>
  <rowFields count="2">
    <field x="0"/>
    <field x="1"/>
  </rowFields>
  <rowItems count="24">
    <i>
      <x/>
    </i>
    <i r="1">
      <x v="3"/>
    </i>
    <i r="1">
      <x v="4"/>
    </i>
    <i r="1">
      <x v="5"/>
    </i>
    <i>
      <x v="1"/>
    </i>
    <i r="1">
      <x/>
    </i>
    <i r="1">
      <x v="2"/>
    </i>
    <i r="1">
      <x v="3"/>
    </i>
    <i r="1">
      <x v="6"/>
    </i>
    <i>
      <x v="2"/>
    </i>
    <i r="1">
      <x/>
    </i>
    <i r="1">
      <x v="2"/>
    </i>
    <i r="1">
      <x v="3"/>
    </i>
    <i r="1">
      <x v="7"/>
    </i>
    <i>
      <x v="3"/>
    </i>
    <i r="1">
      <x/>
    </i>
    <i r="1">
      <x v="1"/>
    </i>
    <i r="1">
      <x v="6"/>
    </i>
    <i>
      <x v="4"/>
    </i>
    <i r="1">
      <x v="1"/>
    </i>
    <i r="1">
      <x v="2"/>
    </i>
    <i r="1">
      <x v="4"/>
    </i>
    <i r="1">
      <x v="5"/>
    </i>
    <i t="grand">
      <x/>
    </i>
  </rowItems>
  <colFields count="1">
    <field x="-2"/>
  </colFields>
  <colItems count="3">
    <i>
      <x/>
    </i>
    <i i="1">
      <x v="1"/>
    </i>
    <i i="2">
      <x v="2"/>
    </i>
  </colItems>
  <dataFields count="3">
    <dataField name="Count of Type" fld="2" subtotal="count" baseField="0" baseItem="0"/>
    <dataField name="Sum of Quantity" fld="3" baseField="0" baseItem="0"/>
    <dataField name="Sum of Price" fld="4" baseField="0" baseItem="0"/>
  </dataFields>
  <chartFormats count="63">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0"/>
          </reference>
        </references>
      </pivotArea>
    </chartFormat>
    <chartFormat chart="11" format="3" series="1">
      <pivotArea type="data" outline="0" fieldPosition="0">
        <references count="1">
          <reference field="4294967294" count="1" selected="0">
            <x v="1"/>
          </reference>
        </references>
      </pivotArea>
    </chartFormat>
    <chartFormat chart="11" format="4" series="1">
      <pivotArea type="data" outline="0" fieldPosition="0">
        <references count="1">
          <reference field="4294967294" count="1" selected="0">
            <x v="2"/>
          </reference>
        </references>
      </pivotArea>
    </chartFormat>
    <chartFormat chart="3" format="7" series="1">
      <pivotArea type="data" outline="0" fieldPosition="0">
        <references count="1">
          <reference field="4294967294" count="1" selected="0">
            <x v="2"/>
          </reference>
        </references>
      </pivotArea>
    </chartFormat>
    <chartFormat chart="16" format="3" series="1">
      <pivotArea type="data" outline="0" fieldPosition="0">
        <references count="1">
          <reference field="4294967294" count="1" selected="0">
            <x v="0"/>
          </reference>
        </references>
      </pivotArea>
    </chartFormat>
    <chartFormat chart="16" format="4">
      <pivotArea type="data" outline="0" fieldPosition="0">
        <references count="3">
          <reference field="4294967294" count="1" selected="0">
            <x v="0"/>
          </reference>
          <reference field="0" count="1" selected="0">
            <x v="0"/>
          </reference>
          <reference field="1" count="1" selected="0">
            <x v="3"/>
          </reference>
        </references>
      </pivotArea>
    </chartFormat>
    <chartFormat chart="16" format="5">
      <pivotArea type="data" outline="0" fieldPosition="0">
        <references count="3">
          <reference field="4294967294" count="1" selected="0">
            <x v="0"/>
          </reference>
          <reference field="0" count="1" selected="0">
            <x v="0"/>
          </reference>
          <reference field="1" count="1" selected="0">
            <x v="4"/>
          </reference>
        </references>
      </pivotArea>
    </chartFormat>
    <chartFormat chart="16" format="6">
      <pivotArea type="data" outline="0" fieldPosition="0">
        <references count="3">
          <reference field="4294967294" count="1" selected="0">
            <x v="0"/>
          </reference>
          <reference field="0" count="1" selected="0">
            <x v="0"/>
          </reference>
          <reference field="1" count="1" selected="0">
            <x v="5"/>
          </reference>
        </references>
      </pivotArea>
    </chartFormat>
    <chartFormat chart="16" format="7">
      <pivotArea type="data" outline="0" fieldPosition="0">
        <references count="3">
          <reference field="4294967294" count="1" selected="0">
            <x v="0"/>
          </reference>
          <reference field="0" count="1" selected="0">
            <x v="1"/>
          </reference>
          <reference field="1" count="1" selected="0">
            <x v="0"/>
          </reference>
        </references>
      </pivotArea>
    </chartFormat>
    <chartFormat chart="16" format="8">
      <pivotArea type="data" outline="0" fieldPosition="0">
        <references count="3">
          <reference field="4294967294" count="1" selected="0">
            <x v="0"/>
          </reference>
          <reference field="0" count="1" selected="0">
            <x v="1"/>
          </reference>
          <reference field="1" count="1" selected="0">
            <x v="2"/>
          </reference>
        </references>
      </pivotArea>
    </chartFormat>
    <chartFormat chart="16" format="9">
      <pivotArea type="data" outline="0" fieldPosition="0">
        <references count="3">
          <reference field="4294967294" count="1" selected="0">
            <x v="0"/>
          </reference>
          <reference field="0" count="1" selected="0">
            <x v="1"/>
          </reference>
          <reference field="1" count="1" selected="0">
            <x v="3"/>
          </reference>
        </references>
      </pivotArea>
    </chartFormat>
    <chartFormat chart="16" format="10">
      <pivotArea type="data" outline="0" fieldPosition="0">
        <references count="3">
          <reference field="4294967294" count="1" selected="0">
            <x v="0"/>
          </reference>
          <reference field="0" count="1" selected="0">
            <x v="1"/>
          </reference>
          <reference field="1" count="1" selected="0">
            <x v="6"/>
          </reference>
        </references>
      </pivotArea>
    </chartFormat>
    <chartFormat chart="16" format="11">
      <pivotArea type="data" outline="0" fieldPosition="0">
        <references count="3">
          <reference field="4294967294" count="1" selected="0">
            <x v="0"/>
          </reference>
          <reference field="0" count="1" selected="0">
            <x v="2"/>
          </reference>
          <reference field="1" count="1" selected="0">
            <x v="0"/>
          </reference>
        </references>
      </pivotArea>
    </chartFormat>
    <chartFormat chart="16" format="12">
      <pivotArea type="data" outline="0" fieldPosition="0">
        <references count="3">
          <reference field="4294967294" count="1" selected="0">
            <x v="0"/>
          </reference>
          <reference field="0" count="1" selected="0">
            <x v="2"/>
          </reference>
          <reference field="1" count="1" selected="0">
            <x v="2"/>
          </reference>
        </references>
      </pivotArea>
    </chartFormat>
    <chartFormat chart="16" format="13">
      <pivotArea type="data" outline="0" fieldPosition="0">
        <references count="3">
          <reference field="4294967294" count="1" selected="0">
            <x v="0"/>
          </reference>
          <reference field="0" count="1" selected="0">
            <x v="2"/>
          </reference>
          <reference field="1" count="1" selected="0">
            <x v="3"/>
          </reference>
        </references>
      </pivotArea>
    </chartFormat>
    <chartFormat chart="16" format="14">
      <pivotArea type="data" outline="0" fieldPosition="0">
        <references count="3">
          <reference field="4294967294" count="1" selected="0">
            <x v="0"/>
          </reference>
          <reference field="0" count="1" selected="0">
            <x v="2"/>
          </reference>
          <reference field="1" count="1" selected="0">
            <x v="7"/>
          </reference>
        </references>
      </pivotArea>
    </chartFormat>
    <chartFormat chart="16" format="15">
      <pivotArea type="data" outline="0" fieldPosition="0">
        <references count="3">
          <reference field="4294967294" count="1" selected="0">
            <x v="0"/>
          </reference>
          <reference field="0" count="1" selected="0">
            <x v="3"/>
          </reference>
          <reference field="1" count="1" selected="0">
            <x v="0"/>
          </reference>
        </references>
      </pivotArea>
    </chartFormat>
    <chartFormat chart="16" format="16">
      <pivotArea type="data" outline="0" fieldPosition="0">
        <references count="3">
          <reference field="4294967294" count="1" selected="0">
            <x v="0"/>
          </reference>
          <reference field="0" count="1" selected="0">
            <x v="3"/>
          </reference>
          <reference field="1" count="1" selected="0">
            <x v="1"/>
          </reference>
        </references>
      </pivotArea>
    </chartFormat>
    <chartFormat chart="16" format="17">
      <pivotArea type="data" outline="0" fieldPosition="0">
        <references count="3">
          <reference field="4294967294" count="1" selected="0">
            <x v="0"/>
          </reference>
          <reference field="0" count="1" selected="0">
            <x v="3"/>
          </reference>
          <reference field="1" count="1" selected="0">
            <x v="6"/>
          </reference>
        </references>
      </pivotArea>
    </chartFormat>
    <chartFormat chart="16" format="18">
      <pivotArea type="data" outline="0" fieldPosition="0">
        <references count="3">
          <reference field="4294967294" count="1" selected="0">
            <x v="0"/>
          </reference>
          <reference field="0" count="1" selected="0">
            <x v="4"/>
          </reference>
          <reference field="1" count="1" selected="0">
            <x v="1"/>
          </reference>
        </references>
      </pivotArea>
    </chartFormat>
    <chartFormat chart="16" format="19">
      <pivotArea type="data" outline="0" fieldPosition="0">
        <references count="3">
          <reference field="4294967294" count="1" selected="0">
            <x v="0"/>
          </reference>
          <reference field="0" count="1" selected="0">
            <x v="4"/>
          </reference>
          <reference field="1" count="1" selected="0">
            <x v="2"/>
          </reference>
        </references>
      </pivotArea>
    </chartFormat>
    <chartFormat chart="16" format="20">
      <pivotArea type="data" outline="0" fieldPosition="0">
        <references count="3">
          <reference field="4294967294" count="1" selected="0">
            <x v="0"/>
          </reference>
          <reference field="0" count="1" selected="0">
            <x v="4"/>
          </reference>
          <reference field="1" count="1" selected="0">
            <x v="4"/>
          </reference>
        </references>
      </pivotArea>
    </chartFormat>
    <chartFormat chart="16" format="21">
      <pivotArea type="data" outline="0" fieldPosition="0">
        <references count="3">
          <reference field="4294967294" count="1" selected="0">
            <x v="0"/>
          </reference>
          <reference field="0" count="1" selected="0">
            <x v="4"/>
          </reference>
          <reference field="1" count="1" selected="0">
            <x v="5"/>
          </reference>
        </references>
      </pivotArea>
    </chartFormat>
    <chartFormat chart="16" format="22" series="1">
      <pivotArea type="data" outline="0" fieldPosition="0">
        <references count="1">
          <reference field="4294967294" count="1" selected="0">
            <x v="1"/>
          </reference>
        </references>
      </pivotArea>
    </chartFormat>
    <chartFormat chart="16" format="23">
      <pivotArea type="data" outline="0" fieldPosition="0">
        <references count="3">
          <reference field="4294967294" count="1" selected="0">
            <x v="1"/>
          </reference>
          <reference field="0" count="1" selected="0">
            <x v="0"/>
          </reference>
          <reference field="1" count="1" selected="0">
            <x v="3"/>
          </reference>
        </references>
      </pivotArea>
    </chartFormat>
    <chartFormat chart="16" format="24">
      <pivotArea type="data" outline="0" fieldPosition="0">
        <references count="3">
          <reference field="4294967294" count="1" selected="0">
            <x v="1"/>
          </reference>
          <reference field="0" count="1" selected="0">
            <x v="0"/>
          </reference>
          <reference field="1" count="1" selected="0">
            <x v="4"/>
          </reference>
        </references>
      </pivotArea>
    </chartFormat>
    <chartFormat chart="16" format="25">
      <pivotArea type="data" outline="0" fieldPosition="0">
        <references count="3">
          <reference field="4294967294" count="1" selected="0">
            <x v="1"/>
          </reference>
          <reference field="0" count="1" selected="0">
            <x v="0"/>
          </reference>
          <reference field="1" count="1" selected="0">
            <x v="5"/>
          </reference>
        </references>
      </pivotArea>
    </chartFormat>
    <chartFormat chart="16" format="26">
      <pivotArea type="data" outline="0" fieldPosition="0">
        <references count="3">
          <reference field="4294967294" count="1" selected="0">
            <x v="1"/>
          </reference>
          <reference field="0" count="1" selected="0">
            <x v="1"/>
          </reference>
          <reference field="1" count="1" selected="0">
            <x v="0"/>
          </reference>
        </references>
      </pivotArea>
    </chartFormat>
    <chartFormat chart="16" format="27">
      <pivotArea type="data" outline="0" fieldPosition="0">
        <references count="3">
          <reference field="4294967294" count="1" selected="0">
            <x v="1"/>
          </reference>
          <reference field="0" count="1" selected="0">
            <x v="1"/>
          </reference>
          <reference field="1" count="1" selected="0">
            <x v="2"/>
          </reference>
        </references>
      </pivotArea>
    </chartFormat>
    <chartFormat chart="16" format="28">
      <pivotArea type="data" outline="0" fieldPosition="0">
        <references count="3">
          <reference field="4294967294" count="1" selected="0">
            <x v="1"/>
          </reference>
          <reference field="0" count="1" selected="0">
            <x v="1"/>
          </reference>
          <reference field="1" count="1" selected="0">
            <x v="3"/>
          </reference>
        </references>
      </pivotArea>
    </chartFormat>
    <chartFormat chart="16" format="29">
      <pivotArea type="data" outline="0" fieldPosition="0">
        <references count="3">
          <reference field="4294967294" count="1" selected="0">
            <x v="1"/>
          </reference>
          <reference field="0" count="1" selected="0">
            <x v="1"/>
          </reference>
          <reference field="1" count="1" selected="0">
            <x v="6"/>
          </reference>
        </references>
      </pivotArea>
    </chartFormat>
    <chartFormat chart="16" format="30">
      <pivotArea type="data" outline="0" fieldPosition="0">
        <references count="3">
          <reference field="4294967294" count="1" selected="0">
            <x v="1"/>
          </reference>
          <reference field="0" count="1" selected="0">
            <x v="2"/>
          </reference>
          <reference field="1" count="1" selected="0">
            <x v="0"/>
          </reference>
        </references>
      </pivotArea>
    </chartFormat>
    <chartFormat chart="16" format="31">
      <pivotArea type="data" outline="0" fieldPosition="0">
        <references count="3">
          <reference field="4294967294" count="1" selected="0">
            <x v="1"/>
          </reference>
          <reference field="0" count="1" selected="0">
            <x v="2"/>
          </reference>
          <reference field="1" count="1" selected="0">
            <x v="2"/>
          </reference>
        </references>
      </pivotArea>
    </chartFormat>
    <chartFormat chart="16" format="32">
      <pivotArea type="data" outline="0" fieldPosition="0">
        <references count="3">
          <reference field="4294967294" count="1" selected="0">
            <x v="1"/>
          </reference>
          <reference field="0" count="1" selected="0">
            <x v="2"/>
          </reference>
          <reference field="1" count="1" selected="0">
            <x v="3"/>
          </reference>
        </references>
      </pivotArea>
    </chartFormat>
    <chartFormat chart="16" format="33">
      <pivotArea type="data" outline="0" fieldPosition="0">
        <references count="3">
          <reference field="4294967294" count="1" selected="0">
            <x v="1"/>
          </reference>
          <reference field="0" count="1" selected="0">
            <x v="2"/>
          </reference>
          <reference field="1" count="1" selected="0">
            <x v="7"/>
          </reference>
        </references>
      </pivotArea>
    </chartFormat>
    <chartFormat chart="16" format="34">
      <pivotArea type="data" outline="0" fieldPosition="0">
        <references count="3">
          <reference field="4294967294" count="1" selected="0">
            <x v="1"/>
          </reference>
          <reference field="0" count="1" selected="0">
            <x v="3"/>
          </reference>
          <reference field="1" count="1" selected="0">
            <x v="0"/>
          </reference>
        </references>
      </pivotArea>
    </chartFormat>
    <chartFormat chart="16" format="35">
      <pivotArea type="data" outline="0" fieldPosition="0">
        <references count="3">
          <reference field="4294967294" count="1" selected="0">
            <x v="1"/>
          </reference>
          <reference field="0" count="1" selected="0">
            <x v="3"/>
          </reference>
          <reference field="1" count="1" selected="0">
            <x v="1"/>
          </reference>
        </references>
      </pivotArea>
    </chartFormat>
    <chartFormat chart="16" format="36">
      <pivotArea type="data" outline="0" fieldPosition="0">
        <references count="3">
          <reference field="4294967294" count="1" selected="0">
            <x v="1"/>
          </reference>
          <reference field="0" count="1" selected="0">
            <x v="3"/>
          </reference>
          <reference field="1" count="1" selected="0">
            <x v="6"/>
          </reference>
        </references>
      </pivotArea>
    </chartFormat>
    <chartFormat chart="16" format="37">
      <pivotArea type="data" outline="0" fieldPosition="0">
        <references count="3">
          <reference field="4294967294" count="1" selected="0">
            <x v="1"/>
          </reference>
          <reference field="0" count="1" selected="0">
            <x v="4"/>
          </reference>
          <reference field="1" count="1" selected="0">
            <x v="1"/>
          </reference>
        </references>
      </pivotArea>
    </chartFormat>
    <chartFormat chart="16" format="38">
      <pivotArea type="data" outline="0" fieldPosition="0">
        <references count="3">
          <reference field="4294967294" count="1" selected="0">
            <x v="1"/>
          </reference>
          <reference field="0" count="1" selected="0">
            <x v="4"/>
          </reference>
          <reference field="1" count="1" selected="0">
            <x v="2"/>
          </reference>
        </references>
      </pivotArea>
    </chartFormat>
    <chartFormat chart="16" format="39">
      <pivotArea type="data" outline="0" fieldPosition="0">
        <references count="3">
          <reference field="4294967294" count="1" selected="0">
            <x v="1"/>
          </reference>
          <reference field="0" count="1" selected="0">
            <x v="4"/>
          </reference>
          <reference field="1" count="1" selected="0">
            <x v="4"/>
          </reference>
        </references>
      </pivotArea>
    </chartFormat>
    <chartFormat chart="16" format="40">
      <pivotArea type="data" outline="0" fieldPosition="0">
        <references count="3">
          <reference field="4294967294" count="1" selected="0">
            <x v="1"/>
          </reference>
          <reference field="0" count="1" selected="0">
            <x v="4"/>
          </reference>
          <reference field="1" count="1" selected="0">
            <x v="5"/>
          </reference>
        </references>
      </pivotArea>
    </chartFormat>
    <chartFormat chart="16" format="41" series="1">
      <pivotArea type="data" outline="0" fieldPosition="0">
        <references count="1">
          <reference field="4294967294" count="1" selected="0">
            <x v="2"/>
          </reference>
        </references>
      </pivotArea>
    </chartFormat>
    <chartFormat chart="16" format="42">
      <pivotArea type="data" outline="0" fieldPosition="0">
        <references count="3">
          <reference field="4294967294" count="1" selected="0">
            <x v="2"/>
          </reference>
          <reference field="0" count="1" selected="0">
            <x v="0"/>
          </reference>
          <reference field="1" count="1" selected="0">
            <x v="3"/>
          </reference>
        </references>
      </pivotArea>
    </chartFormat>
    <chartFormat chart="16" format="43">
      <pivotArea type="data" outline="0" fieldPosition="0">
        <references count="3">
          <reference field="4294967294" count="1" selected="0">
            <x v="2"/>
          </reference>
          <reference field="0" count="1" selected="0">
            <x v="0"/>
          </reference>
          <reference field="1" count="1" selected="0">
            <x v="4"/>
          </reference>
        </references>
      </pivotArea>
    </chartFormat>
    <chartFormat chart="16" format="44">
      <pivotArea type="data" outline="0" fieldPosition="0">
        <references count="3">
          <reference field="4294967294" count="1" selected="0">
            <x v="2"/>
          </reference>
          <reference field="0" count="1" selected="0">
            <x v="0"/>
          </reference>
          <reference field="1" count="1" selected="0">
            <x v="5"/>
          </reference>
        </references>
      </pivotArea>
    </chartFormat>
    <chartFormat chart="16" format="45">
      <pivotArea type="data" outline="0" fieldPosition="0">
        <references count="3">
          <reference field="4294967294" count="1" selected="0">
            <x v="2"/>
          </reference>
          <reference field="0" count="1" selected="0">
            <x v="1"/>
          </reference>
          <reference field="1" count="1" selected="0">
            <x v="0"/>
          </reference>
        </references>
      </pivotArea>
    </chartFormat>
    <chartFormat chart="16" format="46">
      <pivotArea type="data" outline="0" fieldPosition="0">
        <references count="3">
          <reference field="4294967294" count="1" selected="0">
            <x v="2"/>
          </reference>
          <reference field="0" count="1" selected="0">
            <x v="1"/>
          </reference>
          <reference field="1" count="1" selected="0">
            <x v="2"/>
          </reference>
        </references>
      </pivotArea>
    </chartFormat>
    <chartFormat chart="16" format="47">
      <pivotArea type="data" outline="0" fieldPosition="0">
        <references count="3">
          <reference field="4294967294" count="1" selected="0">
            <x v="2"/>
          </reference>
          <reference field="0" count="1" selected="0">
            <x v="1"/>
          </reference>
          <reference field="1" count="1" selected="0">
            <x v="3"/>
          </reference>
        </references>
      </pivotArea>
    </chartFormat>
    <chartFormat chart="16" format="48">
      <pivotArea type="data" outline="0" fieldPosition="0">
        <references count="3">
          <reference field="4294967294" count="1" selected="0">
            <x v="2"/>
          </reference>
          <reference field="0" count="1" selected="0">
            <x v="1"/>
          </reference>
          <reference field="1" count="1" selected="0">
            <x v="6"/>
          </reference>
        </references>
      </pivotArea>
    </chartFormat>
    <chartFormat chart="16" format="49">
      <pivotArea type="data" outline="0" fieldPosition="0">
        <references count="3">
          <reference field="4294967294" count="1" selected="0">
            <x v="2"/>
          </reference>
          <reference field="0" count="1" selected="0">
            <x v="2"/>
          </reference>
          <reference field="1" count="1" selected="0">
            <x v="0"/>
          </reference>
        </references>
      </pivotArea>
    </chartFormat>
    <chartFormat chart="16" format="50">
      <pivotArea type="data" outline="0" fieldPosition="0">
        <references count="3">
          <reference field="4294967294" count="1" selected="0">
            <x v="2"/>
          </reference>
          <reference field="0" count="1" selected="0">
            <x v="2"/>
          </reference>
          <reference field="1" count="1" selected="0">
            <x v="2"/>
          </reference>
        </references>
      </pivotArea>
    </chartFormat>
    <chartFormat chart="16" format="51">
      <pivotArea type="data" outline="0" fieldPosition="0">
        <references count="3">
          <reference field="4294967294" count="1" selected="0">
            <x v="2"/>
          </reference>
          <reference field="0" count="1" selected="0">
            <x v="2"/>
          </reference>
          <reference field="1" count="1" selected="0">
            <x v="3"/>
          </reference>
        </references>
      </pivotArea>
    </chartFormat>
    <chartFormat chart="16" format="52">
      <pivotArea type="data" outline="0" fieldPosition="0">
        <references count="3">
          <reference field="4294967294" count="1" selected="0">
            <x v="2"/>
          </reference>
          <reference field="0" count="1" selected="0">
            <x v="2"/>
          </reference>
          <reference field="1" count="1" selected="0">
            <x v="7"/>
          </reference>
        </references>
      </pivotArea>
    </chartFormat>
    <chartFormat chart="16" format="53">
      <pivotArea type="data" outline="0" fieldPosition="0">
        <references count="3">
          <reference field="4294967294" count="1" selected="0">
            <x v="2"/>
          </reference>
          <reference field="0" count="1" selected="0">
            <x v="3"/>
          </reference>
          <reference field="1" count="1" selected="0">
            <x v="0"/>
          </reference>
        </references>
      </pivotArea>
    </chartFormat>
    <chartFormat chart="16" format="54">
      <pivotArea type="data" outline="0" fieldPosition="0">
        <references count="3">
          <reference field="4294967294" count="1" selected="0">
            <x v="2"/>
          </reference>
          <reference field="0" count="1" selected="0">
            <x v="3"/>
          </reference>
          <reference field="1" count="1" selected="0">
            <x v="1"/>
          </reference>
        </references>
      </pivotArea>
    </chartFormat>
    <chartFormat chart="16" format="55">
      <pivotArea type="data" outline="0" fieldPosition="0">
        <references count="3">
          <reference field="4294967294" count="1" selected="0">
            <x v="2"/>
          </reference>
          <reference field="0" count="1" selected="0">
            <x v="3"/>
          </reference>
          <reference field="1" count="1" selected="0">
            <x v="6"/>
          </reference>
        </references>
      </pivotArea>
    </chartFormat>
    <chartFormat chart="16" format="56">
      <pivotArea type="data" outline="0" fieldPosition="0">
        <references count="3">
          <reference field="4294967294" count="1" selected="0">
            <x v="2"/>
          </reference>
          <reference field="0" count="1" selected="0">
            <x v="4"/>
          </reference>
          <reference field="1" count="1" selected="0">
            <x v="1"/>
          </reference>
        </references>
      </pivotArea>
    </chartFormat>
    <chartFormat chart="16" format="57">
      <pivotArea type="data" outline="0" fieldPosition="0">
        <references count="3">
          <reference field="4294967294" count="1" selected="0">
            <x v="2"/>
          </reference>
          <reference field="0" count="1" selected="0">
            <x v="4"/>
          </reference>
          <reference field="1" count="1" selected="0">
            <x v="2"/>
          </reference>
        </references>
      </pivotArea>
    </chartFormat>
    <chartFormat chart="16" format="58">
      <pivotArea type="data" outline="0" fieldPosition="0">
        <references count="3">
          <reference field="4294967294" count="1" selected="0">
            <x v="2"/>
          </reference>
          <reference field="0" count="1" selected="0">
            <x v="4"/>
          </reference>
          <reference field="1" count="1" selected="0">
            <x v="4"/>
          </reference>
        </references>
      </pivotArea>
    </chartFormat>
    <chartFormat chart="16" format="59">
      <pivotArea type="data" outline="0" fieldPosition="0">
        <references count="3">
          <reference field="4294967294" count="1" selected="0">
            <x v="2"/>
          </reference>
          <reference field="0" count="1" selected="0">
            <x v="4"/>
          </reference>
          <reference field="1"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AFF632B-CC4B-4AFB-8829-2C41516A5640}" name="PivotTable4"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B9" firstHeaderRow="1"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1">
    <field x="0"/>
  </rowFields>
  <rowItems count="6">
    <i>
      <x/>
    </i>
    <i>
      <x v="1"/>
    </i>
    <i>
      <x v="2"/>
    </i>
    <i>
      <x v="3"/>
    </i>
    <i>
      <x v="4"/>
    </i>
    <i t="grand">
      <x/>
    </i>
  </rowItems>
  <colItems count="1">
    <i/>
  </colItems>
  <dataFields count="1">
    <dataField name="Sum of Revenue (BDT Cr)" fld="6"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59275D4-9DE7-4D77-B14B-B66E27EC1CAB}" name="PivotTable5"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C9" firstHeaderRow="0"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dataField="1" showAll="0"/>
    <pivotField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Revenue (BDT Cr)" fld="6" baseField="0" baseItem="0"/>
    <dataField name="Sum of Cost (BDT Cr)" fld="4" baseField="0" baseItem="0"/>
  </dataFields>
  <chartFormats count="4">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4" format="4"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D07130-F064-4789-B504-CF9DE42181C4}" name="PivotTable6"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2" firstHeaderRow="1" firstDataRow="1" firstDataCol="1"/>
  <pivotFields count="7">
    <pivotField showAll="0">
      <items count="6">
        <item x="0"/>
        <item x="1"/>
        <item x="2"/>
        <item x="3"/>
        <item x="4"/>
        <item t="default"/>
      </items>
    </pivotField>
    <pivotField axis="axisRow" showAll="0" sortType="descending">
      <items count="9">
        <item x="4"/>
        <item x="1"/>
        <item x="0"/>
        <item x="2"/>
        <item x="7"/>
        <item x="3"/>
        <item x="6"/>
        <item x="5"/>
        <item t="default"/>
      </items>
      <autoSortScope>
        <pivotArea dataOnly="0" outline="0" fieldPosition="0">
          <references count="1">
            <reference field="4294967294" count="1" selected="0">
              <x v="0"/>
            </reference>
          </references>
        </pivotArea>
      </autoSortScope>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items count="245">
        <item x="198"/>
        <item x="236"/>
        <item x="172"/>
        <item x="170"/>
        <item x="143"/>
        <item x="78"/>
        <item x="222"/>
        <item x="68"/>
        <item x="167"/>
        <item x="227"/>
        <item x="205"/>
        <item x="154"/>
        <item x="116"/>
        <item x="147"/>
        <item x="151"/>
        <item x="12"/>
        <item x="71"/>
        <item x="103"/>
        <item x="234"/>
        <item x="188"/>
        <item x="145"/>
        <item x="134"/>
        <item x="159"/>
        <item x="243"/>
        <item x="98"/>
        <item x="52"/>
        <item x="218"/>
        <item x="62"/>
        <item x="33"/>
        <item x="184"/>
        <item x="232"/>
        <item x="237"/>
        <item x="100"/>
        <item x="4"/>
        <item x="138"/>
        <item x="118"/>
        <item x="24"/>
        <item x="79"/>
        <item x="0"/>
        <item x="1"/>
        <item x="221"/>
        <item x="241"/>
        <item x="233"/>
        <item x="142"/>
        <item x="135"/>
        <item x="123"/>
        <item x="224"/>
        <item x="194"/>
        <item x="217"/>
        <item x="20"/>
        <item x="113"/>
        <item x="164"/>
        <item x="225"/>
        <item x="31"/>
        <item x="85"/>
        <item x="86"/>
        <item x="17"/>
        <item x="43"/>
        <item x="59"/>
        <item x="93"/>
        <item x="213"/>
        <item x="90"/>
        <item x="109"/>
        <item x="199"/>
        <item x="84"/>
        <item x="158"/>
        <item x="121"/>
        <item x="181"/>
        <item x="27"/>
        <item x="38"/>
        <item x="23"/>
        <item x="26"/>
        <item x="117"/>
        <item x="49"/>
        <item x="101"/>
        <item x="80"/>
        <item x="53"/>
        <item x="206"/>
        <item x="235"/>
        <item x="58"/>
        <item x="174"/>
        <item x="231"/>
        <item x="178"/>
        <item x="15"/>
        <item x="99"/>
        <item x="191"/>
        <item x="219"/>
        <item x="63"/>
        <item x="40"/>
        <item x="54"/>
        <item x="228"/>
        <item x="185"/>
        <item x="60"/>
        <item x="77"/>
        <item x="3"/>
        <item x="28"/>
        <item x="179"/>
        <item x="18"/>
        <item x="114"/>
        <item x="39"/>
        <item x="239"/>
        <item x="128"/>
        <item x="36"/>
        <item x="230"/>
        <item x="44"/>
        <item x="168"/>
        <item x="72"/>
        <item x="104"/>
        <item x="97"/>
        <item x="124"/>
        <item x="169"/>
        <item x="183"/>
        <item x="182"/>
        <item x="13"/>
        <item x="119"/>
        <item x="21"/>
        <item x="87"/>
        <item x="130"/>
        <item x="57"/>
        <item x="5"/>
        <item x="7"/>
        <item x="175"/>
        <item x="8"/>
        <item x="2"/>
        <item x="19"/>
        <item x="55"/>
        <item x="166"/>
        <item x="176"/>
        <item x="30"/>
        <item x="162"/>
        <item x="148"/>
        <item x="133"/>
        <item x="115"/>
        <item x="209"/>
        <item x="96"/>
        <item x="193"/>
        <item x="25"/>
        <item x="50"/>
        <item x="242"/>
        <item x="136"/>
        <item x="45"/>
        <item x="120"/>
        <item x="173"/>
        <item x="88"/>
        <item x="56"/>
        <item x="140"/>
        <item x="35"/>
        <item x="220"/>
        <item x="144"/>
        <item x="37"/>
        <item x="83"/>
        <item x="10"/>
        <item x="74"/>
        <item x="76"/>
        <item x="229"/>
        <item x="69"/>
        <item x="126"/>
        <item x="111"/>
        <item x="190"/>
        <item x="200"/>
        <item x="153"/>
        <item x="195"/>
        <item x="106"/>
        <item x="201"/>
        <item x="34"/>
        <item x="197"/>
        <item x="150"/>
        <item x="165"/>
        <item x="129"/>
        <item x="211"/>
        <item x="226"/>
        <item x="127"/>
        <item x="204"/>
        <item x="214"/>
        <item x="196"/>
        <item x="215"/>
        <item x="152"/>
        <item x="157"/>
        <item x="48"/>
        <item x="75"/>
        <item x="171"/>
        <item x="149"/>
        <item x="32"/>
        <item x="94"/>
        <item x="66"/>
        <item x="108"/>
        <item x="47"/>
        <item x="46"/>
        <item x="73"/>
        <item x="238"/>
        <item x="156"/>
        <item x="187"/>
        <item x="139"/>
        <item x="132"/>
        <item x="41"/>
        <item x="9"/>
        <item x="64"/>
        <item x="122"/>
        <item x="29"/>
        <item x="16"/>
        <item x="186"/>
        <item x="11"/>
        <item x="189"/>
        <item x="212"/>
        <item x="22"/>
        <item x="65"/>
        <item x="202"/>
        <item x="180"/>
        <item x="95"/>
        <item x="92"/>
        <item x="107"/>
        <item x="91"/>
        <item x="112"/>
        <item x="207"/>
        <item x="110"/>
        <item x="146"/>
        <item x="61"/>
        <item x="51"/>
        <item x="89"/>
        <item x="137"/>
        <item x="203"/>
        <item x="14"/>
        <item x="141"/>
        <item x="102"/>
        <item x="6"/>
        <item x="70"/>
        <item x="81"/>
        <item x="82"/>
        <item x="160"/>
        <item x="161"/>
        <item x="240"/>
        <item x="67"/>
        <item x="177"/>
        <item x="131"/>
        <item x="105"/>
        <item x="223"/>
        <item x="125"/>
        <item x="216"/>
        <item x="163"/>
        <item x="155"/>
        <item x="192"/>
        <item x="210"/>
        <item x="42"/>
        <item x="208"/>
        <item t="default"/>
      </items>
    </pivotField>
  </pivotFields>
  <rowFields count="1">
    <field x="1"/>
  </rowFields>
  <rowItems count="9">
    <i>
      <x v="6"/>
    </i>
    <i>
      <x v="5"/>
    </i>
    <i>
      <x/>
    </i>
    <i>
      <x v="1"/>
    </i>
    <i>
      <x v="4"/>
    </i>
    <i>
      <x v="2"/>
    </i>
    <i>
      <x v="3"/>
    </i>
    <i>
      <x v="7"/>
    </i>
    <i t="grand">
      <x/>
    </i>
  </rowItems>
  <colItems count="1">
    <i/>
  </colItems>
  <dataFields count="1">
    <dataField name="Sum of Revenue (BDT Cr)" fld="6"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8676B4-AA37-441A-BF01-C279A388A7A4}" name="PivotTable7"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B12"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axis="axisRow" showAll="0" sortType="descending">
      <items count="9">
        <item x="4"/>
        <item x="5"/>
        <item x="2"/>
        <item x="0"/>
        <item x="6"/>
        <item x="1"/>
        <item x="3"/>
        <item x="7"/>
        <item t="default"/>
      </items>
      <autoSortScope>
        <pivotArea dataOnly="0" outline="0" fieldPosition="0">
          <references count="1">
            <reference field="4294967294" count="1" selected="0">
              <x v="0"/>
            </reference>
          </references>
        </pivotArea>
      </autoSortScope>
    </pivotField>
    <pivotField showAll="0">
      <items count="3">
        <item x="1"/>
        <item x="0"/>
        <item t="default"/>
      </items>
    </pivotField>
    <pivotField showAll="0"/>
    <pivotField showAll="0"/>
    <pivotField dataField="1" showAll="0"/>
  </pivotFields>
  <rowFields count="1">
    <field x="2"/>
  </rowFields>
  <rowItems count="9">
    <i>
      <x v="5"/>
    </i>
    <i>
      <x v="6"/>
    </i>
    <i>
      <x v="4"/>
    </i>
    <i>
      <x v="7"/>
    </i>
    <i>
      <x/>
    </i>
    <i>
      <x v="1"/>
    </i>
    <i>
      <x v="3"/>
    </i>
    <i>
      <x v="2"/>
    </i>
    <i t="grand">
      <x/>
    </i>
  </rowItems>
  <colItems count="1">
    <i/>
  </colItems>
  <dataFields count="1">
    <dataField name="Sum of Revenue (BDT Cr)" fld="6" baseField="0" baseItem="0"/>
  </dataFields>
  <chartFormats count="2">
    <chartFormat chart="1" format="0"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0B2A46D-4373-4FBE-A683-A43634F18080}" name="PivotTable8"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A3:B49" firstHeaderRow="1" firstDataRow="1" firstDataCol="1"/>
  <pivotFields count="7">
    <pivotField axis="axisRow" showAll="0">
      <items count="6">
        <item x="0"/>
        <item x="1"/>
        <item x="2"/>
        <item x="3"/>
        <item x="4"/>
        <item t="default"/>
      </items>
    </pivotField>
    <pivotField axis="axisRow" showAll="0" sortType="descending">
      <items count="9">
        <item x="4"/>
        <item x="1"/>
        <item x="0"/>
        <item x="2"/>
        <item x="7"/>
        <item x="3"/>
        <item x="6"/>
        <item x="5"/>
        <item t="default"/>
      </items>
      <autoSortScope>
        <pivotArea dataOnly="0" outline="0" fieldPosition="0">
          <references count="1">
            <reference field="4294967294" count="1" selected="0">
              <x v="0"/>
            </reference>
          </references>
        </pivotArea>
      </autoSortScope>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2">
    <field x="0"/>
    <field x="1"/>
  </rowFields>
  <rowItems count="46">
    <i>
      <x/>
    </i>
    <i r="1">
      <x v="7"/>
    </i>
    <i r="1">
      <x v="3"/>
    </i>
    <i r="1">
      <x v="5"/>
    </i>
    <i r="1">
      <x v="2"/>
    </i>
    <i r="1">
      <x v="4"/>
    </i>
    <i r="1">
      <x/>
    </i>
    <i r="1">
      <x v="6"/>
    </i>
    <i r="1">
      <x v="1"/>
    </i>
    <i>
      <x v="1"/>
    </i>
    <i r="1">
      <x v="5"/>
    </i>
    <i r="1">
      <x v="6"/>
    </i>
    <i r="1">
      <x v="4"/>
    </i>
    <i r="1">
      <x v="1"/>
    </i>
    <i r="1">
      <x v="2"/>
    </i>
    <i r="1">
      <x v="7"/>
    </i>
    <i r="1">
      <x/>
    </i>
    <i r="1">
      <x v="3"/>
    </i>
    <i>
      <x v="2"/>
    </i>
    <i r="1">
      <x v="6"/>
    </i>
    <i r="1">
      <x v="2"/>
    </i>
    <i r="1">
      <x v="5"/>
    </i>
    <i r="1">
      <x v="7"/>
    </i>
    <i r="1">
      <x v="1"/>
    </i>
    <i r="1">
      <x/>
    </i>
    <i r="1">
      <x v="4"/>
    </i>
    <i r="1">
      <x v="3"/>
    </i>
    <i>
      <x v="3"/>
    </i>
    <i r="1">
      <x v="3"/>
    </i>
    <i r="1">
      <x v="5"/>
    </i>
    <i r="1">
      <x/>
    </i>
    <i r="1">
      <x v="4"/>
    </i>
    <i r="1">
      <x v="1"/>
    </i>
    <i r="1">
      <x v="2"/>
    </i>
    <i r="1">
      <x v="6"/>
    </i>
    <i r="1">
      <x v="7"/>
    </i>
    <i>
      <x v="4"/>
    </i>
    <i r="1">
      <x/>
    </i>
    <i r="1">
      <x v="6"/>
    </i>
    <i r="1">
      <x v="1"/>
    </i>
    <i r="1">
      <x v="4"/>
    </i>
    <i r="1">
      <x v="2"/>
    </i>
    <i r="1">
      <x v="3"/>
    </i>
    <i r="1">
      <x v="7"/>
    </i>
    <i r="1">
      <x v="5"/>
    </i>
    <i t="grand">
      <x/>
    </i>
  </rowItems>
  <colItems count="1">
    <i/>
  </colItems>
  <dataFields count="1">
    <dataField name="Sum of Revenue (BDT Cr)" fld="6" baseField="0" baseItem="0"/>
  </dataFields>
  <chartFormats count="5">
    <chartFormat chart="15" format="0" series="1">
      <pivotArea type="data" outline="0" fieldPosition="0">
        <references count="1">
          <reference field="4294967294" count="1" selected="0">
            <x v="0"/>
          </reference>
        </references>
      </pivotArea>
    </chartFormat>
    <chartFormat chart="23" format="2" series="1">
      <pivotArea type="data" outline="0" fieldPosition="0">
        <references count="1">
          <reference field="4294967294" count="1" selected="0">
            <x v="0"/>
          </reference>
        </references>
      </pivotArea>
    </chartFormat>
    <chartFormat chart="24" format="1" series="1">
      <pivotArea type="data" outline="0" fieldPosition="0">
        <references count="1">
          <reference field="4294967294" count="1" selected="0">
            <x v="0"/>
          </reference>
        </references>
      </pivotArea>
    </chartFormat>
    <chartFormat chart="25" format="2" series="1">
      <pivotArea type="data" outline="0" fieldPosition="0">
        <references count="1">
          <reference field="4294967294" count="1" selected="0">
            <x v="0"/>
          </reference>
        </references>
      </pivotArea>
    </chartFormat>
    <chartFormat chart="2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DB7D432-8FEA-4E92-A20E-F96158DEB14E}" name="PivotTable9"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J10" firstHeaderRow="1" firstDataRow="2" firstDataCol="1"/>
  <pivotFields count="7">
    <pivotField axis="axisRow" showAll="0">
      <items count="6">
        <item x="0"/>
        <item x="1"/>
        <item x="2"/>
        <item x="3"/>
        <item x="4"/>
        <item t="default"/>
      </items>
    </pivotField>
    <pivotField axis="axisCol"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showAll="0"/>
    <pivotField dataField="1" showAll="0"/>
  </pivotFields>
  <rowFields count="1">
    <field x="0"/>
  </rowFields>
  <rowItems count="6">
    <i>
      <x/>
    </i>
    <i>
      <x v="1"/>
    </i>
    <i>
      <x v="2"/>
    </i>
    <i>
      <x v="3"/>
    </i>
    <i>
      <x v="4"/>
    </i>
    <i t="grand">
      <x/>
    </i>
  </rowItems>
  <colFields count="1">
    <field x="1"/>
  </colFields>
  <colItems count="9">
    <i>
      <x/>
    </i>
    <i>
      <x v="1"/>
    </i>
    <i>
      <x v="2"/>
    </i>
    <i>
      <x v="3"/>
    </i>
    <i>
      <x v="4"/>
    </i>
    <i>
      <x v="5"/>
    </i>
    <i>
      <x v="6"/>
    </i>
    <i>
      <x v="7"/>
    </i>
    <i t="grand">
      <x/>
    </i>
  </colItems>
  <dataFields count="1">
    <dataField name="Sum of Revenue (BDT Cr)" fld="6" baseField="0" baseItem="0"/>
  </dataFields>
  <formats count="3">
    <format dxfId="2">
      <pivotArea outline="0" collapsedLevelsAreSubtotals="1" fieldPosition="0">
        <references count="1">
          <reference field="1" count="1" selected="0">
            <x v="0"/>
          </reference>
        </references>
      </pivotArea>
    </format>
    <format dxfId="1">
      <pivotArea field="1" type="button" dataOnly="0" labelOnly="1" outline="0" axis="axisCol" fieldPosition="0"/>
    </format>
    <format dxfId="0">
      <pivotArea dataOnly="0" labelOnly="1" fieldPosition="0">
        <references count="1">
          <reference field="1" count="1">
            <x v="0"/>
          </reference>
        </references>
      </pivotArea>
    </format>
  </formats>
  <chartFormats count="16">
    <chartFormat chart="2" format="0" series="1">
      <pivotArea type="data" outline="0" fieldPosition="0">
        <references count="2">
          <reference field="4294967294" count="1" selected="0">
            <x v="0"/>
          </reference>
          <reference field="1" count="1" selected="0">
            <x v="0"/>
          </reference>
        </references>
      </pivotArea>
    </chartFormat>
    <chartFormat chart="2" format="1" series="1">
      <pivotArea type="data" outline="0" fieldPosition="0">
        <references count="2">
          <reference field="4294967294" count="1" selected="0">
            <x v="0"/>
          </reference>
          <reference field="1" count="1" selected="0">
            <x v="1"/>
          </reference>
        </references>
      </pivotArea>
    </chartFormat>
    <chartFormat chart="2" format="2" series="1">
      <pivotArea type="data" outline="0" fieldPosition="0">
        <references count="2">
          <reference field="4294967294" count="1" selected="0">
            <x v="0"/>
          </reference>
          <reference field="1" count="1" selected="0">
            <x v="2"/>
          </reference>
        </references>
      </pivotArea>
    </chartFormat>
    <chartFormat chart="2" format="3" series="1">
      <pivotArea type="data" outline="0" fieldPosition="0">
        <references count="2">
          <reference field="4294967294" count="1" selected="0">
            <x v="0"/>
          </reference>
          <reference field="1" count="1" selected="0">
            <x v="3"/>
          </reference>
        </references>
      </pivotArea>
    </chartFormat>
    <chartFormat chart="2" format="4" series="1">
      <pivotArea type="data" outline="0" fieldPosition="0">
        <references count="2">
          <reference field="4294967294" count="1" selected="0">
            <x v="0"/>
          </reference>
          <reference field="1" count="1" selected="0">
            <x v="4"/>
          </reference>
        </references>
      </pivotArea>
    </chartFormat>
    <chartFormat chart="2" format="5" series="1">
      <pivotArea type="data" outline="0" fieldPosition="0">
        <references count="2">
          <reference field="4294967294" count="1" selected="0">
            <x v="0"/>
          </reference>
          <reference field="1" count="1" selected="0">
            <x v="5"/>
          </reference>
        </references>
      </pivotArea>
    </chartFormat>
    <chartFormat chart="2" format="6" series="1">
      <pivotArea type="data" outline="0" fieldPosition="0">
        <references count="2">
          <reference field="4294967294" count="1" selected="0">
            <x v="0"/>
          </reference>
          <reference field="1" count="1" selected="0">
            <x v="6"/>
          </reference>
        </references>
      </pivotArea>
    </chartFormat>
    <chartFormat chart="2" format="7" series="1">
      <pivotArea type="data" outline="0" fieldPosition="0">
        <references count="2">
          <reference field="4294967294" count="1" selected="0">
            <x v="0"/>
          </reference>
          <reference field="1" count="1" selected="0">
            <x v="7"/>
          </reference>
        </references>
      </pivotArea>
    </chartFormat>
    <chartFormat chart="7" format="16" series="1">
      <pivotArea type="data" outline="0" fieldPosition="0">
        <references count="2">
          <reference field="4294967294" count="1" selected="0">
            <x v="0"/>
          </reference>
          <reference field="1" count="1" selected="0">
            <x v="0"/>
          </reference>
        </references>
      </pivotArea>
    </chartFormat>
    <chartFormat chart="7" format="17" series="1">
      <pivotArea type="data" outline="0" fieldPosition="0">
        <references count="2">
          <reference field="4294967294" count="1" selected="0">
            <x v="0"/>
          </reference>
          <reference field="1" count="1" selected="0">
            <x v="1"/>
          </reference>
        </references>
      </pivotArea>
    </chartFormat>
    <chartFormat chart="7" format="18" series="1">
      <pivotArea type="data" outline="0" fieldPosition="0">
        <references count="2">
          <reference field="4294967294" count="1" selected="0">
            <x v="0"/>
          </reference>
          <reference field="1" count="1" selected="0">
            <x v="2"/>
          </reference>
        </references>
      </pivotArea>
    </chartFormat>
    <chartFormat chart="7" format="19" series="1">
      <pivotArea type="data" outline="0" fieldPosition="0">
        <references count="2">
          <reference field="4294967294" count="1" selected="0">
            <x v="0"/>
          </reference>
          <reference field="1" count="1" selected="0">
            <x v="3"/>
          </reference>
        </references>
      </pivotArea>
    </chartFormat>
    <chartFormat chart="7" format="20" series="1">
      <pivotArea type="data" outline="0" fieldPosition="0">
        <references count="2">
          <reference field="4294967294" count="1" selected="0">
            <x v="0"/>
          </reference>
          <reference field="1" count="1" selected="0">
            <x v="4"/>
          </reference>
        </references>
      </pivotArea>
    </chartFormat>
    <chartFormat chart="7" format="21" series="1">
      <pivotArea type="data" outline="0" fieldPosition="0">
        <references count="2">
          <reference field="4294967294" count="1" selected="0">
            <x v="0"/>
          </reference>
          <reference field="1" count="1" selected="0">
            <x v="5"/>
          </reference>
        </references>
      </pivotArea>
    </chartFormat>
    <chartFormat chart="7" format="22" series="1">
      <pivotArea type="data" outline="0" fieldPosition="0">
        <references count="2">
          <reference field="4294967294" count="1" selected="0">
            <x v="0"/>
          </reference>
          <reference field="1" count="1" selected="0">
            <x v="6"/>
          </reference>
        </references>
      </pivotArea>
    </chartFormat>
    <chartFormat chart="7" format="23" series="1">
      <pivotArea type="data" outline="0" fieldPosition="0">
        <references count="2">
          <reference field="4294967294" count="1" selected="0">
            <x v="0"/>
          </reference>
          <reference field="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4EC7B7C-D59E-42ED-8E48-2474777523B0}" name="PivotTable10"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5">
  <location ref="A3:B6"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axis="axisRow" showAll="0">
      <items count="3">
        <item x="1"/>
        <item x="0"/>
        <item t="default"/>
      </items>
    </pivotField>
    <pivotField showAll="0"/>
    <pivotField showAll="0"/>
    <pivotField dataField="1" showAll="0"/>
  </pivotFields>
  <rowFields count="1">
    <field x="3"/>
  </rowFields>
  <rowItems count="3">
    <i>
      <x/>
    </i>
    <i>
      <x v="1"/>
    </i>
    <i t="grand">
      <x/>
    </i>
  </rowItems>
  <colItems count="1">
    <i/>
  </colItems>
  <dataFields count="1">
    <dataField name="Sum of Revenue (BDT Cr)" fld="6" baseField="0" baseItem="0"/>
  </dataFields>
  <chartFormats count="6">
    <chartFormat chart="1" format="0" series="1">
      <pivotArea type="data" outline="0" fieldPosition="0">
        <references count="1">
          <reference field="4294967294" count="1" selected="0">
            <x v="0"/>
          </reference>
        </references>
      </pivotArea>
    </chartFormat>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3" count="1" selected="0">
            <x v="0"/>
          </reference>
        </references>
      </pivotArea>
    </chartFormat>
    <chartFormat chart="4" format="6">
      <pivotArea type="data" outline="0" fieldPosition="0">
        <references count="2">
          <reference field="4294967294" count="1" selected="0">
            <x v="0"/>
          </reference>
          <reference field="3" count="1" selected="0">
            <x v="1"/>
          </reference>
        </references>
      </pivotArea>
    </chartFormat>
    <chartFormat chart="1" format="1">
      <pivotArea type="data" outline="0" fieldPosition="0">
        <references count="2">
          <reference field="4294967294" count="1" selected="0">
            <x v="0"/>
          </reference>
          <reference field="3" count="1" selected="0">
            <x v="0"/>
          </reference>
        </references>
      </pivotArea>
    </chartFormat>
    <chartFormat chart="1" format="2">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573D2C4-3B89-48F5-8A2D-D19FE2AC0B17}" name="PivotTable11"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0"/>
  </rowFields>
  <rowItems count="6">
    <i>
      <x/>
    </i>
    <i>
      <x v="1"/>
    </i>
    <i>
      <x v="2"/>
    </i>
    <i>
      <x v="3"/>
    </i>
    <i>
      <x v="4"/>
    </i>
    <i t="grand">
      <x/>
    </i>
  </rowItems>
  <colItems count="1">
    <i/>
  </colItems>
  <dataFields count="1">
    <dataField name="Sum of Profit (BDT Cr)"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FC10057-7BC9-4170-BFDB-BADDEB5A829A}" name="PivotTable12"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2" firstHeaderRow="1" firstDataRow="1" firstDataCol="1"/>
  <pivotFields count="7">
    <pivotField showAll="0">
      <items count="6">
        <item x="0"/>
        <item x="1"/>
        <item x="2"/>
        <item x="3"/>
        <item x="4"/>
        <item t="default"/>
      </items>
    </pivotField>
    <pivotField axis="axisRow"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1"/>
  </rowFields>
  <rowItems count="9">
    <i>
      <x/>
    </i>
    <i>
      <x v="1"/>
    </i>
    <i>
      <x v="2"/>
    </i>
    <i>
      <x v="3"/>
    </i>
    <i>
      <x v="4"/>
    </i>
    <i>
      <x v="5"/>
    </i>
    <i>
      <x v="6"/>
    </i>
    <i>
      <x v="7"/>
    </i>
    <i t="grand">
      <x/>
    </i>
  </rowItems>
  <colItems count="1">
    <i/>
  </colItems>
  <dataFields count="1">
    <dataField name="Sum of Profit (BDT Cr)"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C652F26-2D2C-4325-9802-ACD9D0399B22}" name="PivotTable13"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A3:C9" firstHeaderRow="0" firstDataRow="1" firstDataCol="1"/>
  <pivotFields count="7">
    <pivotField axis="axisRow"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showAll="0">
      <items count="3">
        <item x="1"/>
        <item x="0"/>
        <item t="default"/>
      </items>
    </pivotField>
    <pivotField showAll="0"/>
    <pivotField dataField="1" showAll="0"/>
    <pivotField dataField="1" showAll="0"/>
  </pivotFields>
  <rowFields count="1">
    <field x="0"/>
  </rowFields>
  <rowItems count="6">
    <i>
      <x/>
    </i>
    <i>
      <x v="1"/>
    </i>
    <i>
      <x v="2"/>
    </i>
    <i>
      <x v="3"/>
    </i>
    <i>
      <x v="4"/>
    </i>
    <i t="grand">
      <x/>
    </i>
  </rowItems>
  <colFields count="1">
    <field x="-2"/>
  </colFields>
  <colItems count="2">
    <i>
      <x/>
    </i>
    <i i="1">
      <x v="1"/>
    </i>
  </colItems>
  <dataFields count="2">
    <dataField name="Sum of Revenue (BDT Cr)" fld="6" baseField="0" baseItem="0"/>
    <dataField name="Sum of Profit (BDT Cr)" fld="5"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BC451D3-36C3-4983-8AB0-430D99FBC2A2}" name="PivotTable16"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B6"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showAll="0">
      <items count="9">
        <item x="4"/>
        <item x="5"/>
        <item x="2"/>
        <item x="0"/>
        <item x="6"/>
        <item x="1"/>
        <item x="3"/>
        <item x="7"/>
        <item t="default"/>
      </items>
    </pivotField>
    <pivotField axis="axisRow" showAll="0">
      <items count="3">
        <item x="1"/>
        <item x="0"/>
        <item t="default"/>
      </items>
    </pivotField>
    <pivotField showAll="0"/>
    <pivotField dataField="1" showAll="0"/>
    <pivotField showAll="0"/>
  </pivotFields>
  <rowFields count="1">
    <field x="3"/>
  </rowFields>
  <rowItems count="3">
    <i>
      <x/>
    </i>
    <i>
      <x v="1"/>
    </i>
    <i t="grand">
      <x/>
    </i>
  </rowItems>
  <colItems count="1">
    <i/>
  </colItems>
  <dataFields count="1">
    <dataField name="Sum of Profit (BDT Cr)" fld="5" baseField="0" baseItem="0"/>
  </dataFields>
  <chartFormats count="6">
    <chartFormat chart="10" format="0" series="1">
      <pivotArea type="data" outline="0" fieldPosition="0">
        <references count="1">
          <reference field="4294967294" count="1" selected="0">
            <x v="0"/>
          </reference>
        </references>
      </pivotArea>
    </chartFormat>
    <chartFormat chart="10" format="1">
      <pivotArea type="data" outline="0" fieldPosition="0">
        <references count="2">
          <reference field="4294967294" count="1" selected="0">
            <x v="0"/>
          </reference>
          <reference field="3" count="1" selected="0">
            <x v="0"/>
          </reference>
        </references>
      </pivotArea>
    </chartFormat>
    <chartFormat chart="10" format="2">
      <pivotArea type="data" outline="0" fieldPosition="0">
        <references count="2">
          <reference field="4294967294" count="1" selected="0">
            <x v="0"/>
          </reference>
          <reference field="3" count="1" selected="0">
            <x v="1"/>
          </reference>
        </references>
      </pivotArea>
    </chartFormat>
    <chartFormat chart="15" format="6" series="1">
      <pivotArea type="data" outline="0" fieldPosition="0">
        <references count="1">
          <reference field="4294967294" count="1" selected="0">
            <x v="0"/>
          </reference>
        </references>
      </pivotArea>
    </chartFormat>
    <chartFormat chart="15" format="7">
      <pivotArea type="data" outline="0" fieldPosition="0">
        <references count="2">
          <reference field="4294967294" count="1" selected="0">
            <x v="0"/>
          </reference>
          <reference field="3" count="1" selected="0">
            <x v="0"/>
          </reference>
        </references>
      </pivotArea>
    </chartFormat>
    <chartFormat chart="15" format="8">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BC867DEC-34E8-487E-B6A7-FC26EBEFDE22}" name="PivotTable18" cacheId="1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12" firstHeaderRow="1" firstDataRow="1" firstDataCol="1"/>
  <pivotFields count="7">
    <pivotField showAll="0">
      <items count="6">
        <item x="0"/>
        <item x="1"/>
        <item x="2"/>
        <item x="3"/>
        <item x="4"/>
        <item t="default"/>
      </items>
    </pivotField>
    <pivotField showAll="0">
      <items count="9">
        <item x="4"/>
        <item x="1"/>
        <item x="0"/>
        <item x="2"/>
        <item x="7"/>
        <item x="3"/>
        <item x="6"/>
        <item x="5"/>
        <item t="default"/>
      </items>
    </pivotField>
    <pivotField axis="axisRow" showAll="0">
      <items count="9">
        <item x="4"/>
        <item x="5"/>
        <item x="2"/>
        <item x="0"/>
        <item x="6"/>
        <item x="1"/>
        <item x="3"/>
        <item x="7"/>
        <item t="default"/>
      </items>
    </pivotField>
    <pivotField showAll="0">
      <items count="3">
        <item x="1"/>
        <item x="0"/>
        <item t="default"/>
      </items>
    </pivotField>
    <pivotField showAll="0"/>
    <pivotField dataField="1" showAll="0"/>
    <pivotField showAll="0"/>
  </pivotFields>
  <rowFields count="1">
    <field x="2"/>
  </rowFields>
  <rowItems count="9">
    <i>
      <x/>
    </i>
    <i>
      <x v="1"/>
    </i>
    <i>
      <x v="2"/>
    </i>
    <i>
      <x v="3"/>
    </i>
    <i>
      <x v="4"/>
    </i>
    <i>
      <x v="5"/>
    </i>
    <i>
      <x v="6"/>
    </i>
    <i>
      <x v="7"/>
    </i>
    <i t="grand">
      <x/>
    </i>
  </rowItems>
  <colItems count="1">
    <i/>
  </colItems>
  <dataFields count="1">
    <dataField name="Sum of Profit (BDT Cr)" fld="5"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606497-D113-4823-AD20-E791CE2BCC93}" sourceName="Year">
  <pivotTables>
    <pivotTable tabId="2" name="PivotTable1"/>
  </pivotTables>
  <data>
    <tabular pivotCacheId="1409151488">
      <items count="5">
        <i x="3" s="1"/>
        <i x="4" s="1"/>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 xr10:uid="{0C1EC99D-8501-4152-8825-68E71FF66EEB}" sourceName="Car">
  <pivotTables>
    <pivotTable tabId="2" name="PivotTable1"/>
  </pivotTables>
  <data>
    <tabular pivotCacheId="1409151488">
      <items count="8">
        <i x="3" s="1"/>
        <i x="5" s="1"/>
        <i x="4" s="1"/>
        <i x="1" s="1"/>
        <i x="7" s="1"/>
        <i x="6"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D4B76AE6-733B-4774-A181-C8431472CA36}" sourceName="Type">
  <pivotTables>
    <pivotTable tabId="2" name="PivotTable1"/>
  </pivotTables>
  <data>
    <tabular pivotCacheId="1409151488">
      <items count="6">
        <i x="0" s="1"/>
        <i x="2" s="1"/>
        <i x="3" s="1"/>
        <i x="1"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DF07EAF3-1CEF-4E26-BB50-D7B442EAA9DC}" sourceName="Year">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5">
        <i x="0" s="1"/>
        <i x="1" s="1"/>
        <i x="2" s="1"/>
        <i x="3" s="1"/>
        <i x="4"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 xr10:uid="{38B4358F-01A1-454F-A005-9F659C1002B6}" sourceName="Division">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8">
        <i x="4" s="1"/>
        <i x="1" s="1"/>
        <i x="0" s="1"/>
        <i x="2" s="1"/>
        <i x="7" s="1"/>
        <i x="3" s="1"/>
        <i x="6" s="1"/>
        <i x="5"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A1F46696-217B-4710-8A8C-BBE420A1322A}" sourceName="Product Type">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8">
        <i x="4" s="1"/>
        <i x="5" s="1"/>
        <i x="2" s="1"/>
        <i x="0" s="1"/>
        <i x="6" s="1"/>
        <i x="1" s="1"/>
        <i x="3" s="1"/>
        <i x="7"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ethod" xr10:uid="{6BCBDD1E-B3D6-4920-966F-6DA453FD0BFA}" sourceName="Order Method">
  <pivotTables>
    <pivotTable tabId="20" name="PivotTable4"/>
    <pivotTable tabId="25" name="PivotTable9"/>
    <pivotTable tabId="22" name="PivotTable6"/>
    <pivotTable tabId="23" name="PivotTable7"/>
    <pivotTable tabId="24" name="PivotTable8"/>
    <pivotTable tabId="21" name="PivotTable5"/>
    <pivotTable tabId="26" name="PivotTable10"/>
  </pivotTables>
  <data>
    <tabular pivotCacheId="469757107">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05784C3A-1EE3-44F9-9379-E6856F86840C}" sourceName="Year">
  <pivotTables>
    <pivotTable tabId="27" name="PivotTable11"/>
    <pivotTable tabId="28" name="PivotTable12"/>
    <pivotTable tabId="31" name="PivotTable16"/>
    <pivotTable tabId="33" name="PivotTable18"/>
    <pivotTable tabId="30" name="PivotTable13"/>
  </pivotTables>
  <data>
    <tabular pivotCacheId="469757107">
      <items count="5">
        <i x="0" s="1"/>
        <i x="1" s="1"/>
        <i x="2" s="1"/>
        <i x="3" s="1"/>
        <i x="4"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vision1" xr10:uid="{8CABF6DB-251C-4B44-89BB-5DF8F0020456}" sourceName="Division">
  <pivotTables>
    <pivotTable tabId="27" name="PivotTable11"/>
    <pivotTable tabId="28" name="PivotTable12"/>
    <pivotTable tabId="31" name="PivotTable16"/>
    <pivotTable tabId="33" name="PivotTable18"/>
    <pivotTable tabId="30" name="PivotTable13"/>
  </pivotTables>
  <data>
    <tabular pivotCacheId="469757107">
      <items count="8">
        <i x="4" s="1"/>
        <i x="1" s="1"/>
        <i x="0" s="1"/>
        <i x="2" s="1"/>
        <i x="7" s="1"/>
        <i x="3" s="1"/>
        <i x="6" s="1"/>
        <i x="5"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1" xr10:uid="{833F1DE9-DAB8-4979-B03F-8B3F613D2C0C}" sourceName="Product Type">
  <pivotTables>
    <pivotTable tabId="27" name="PivotTable11"/>
    <pivotTable tabId="28" name="PivotTable12"/>
    <pivotTable tabId="31" name="PivotTable16"/>
    <pivotTable tabId="33" name="PivotTable18"/>
    <pivotTable tabId="30" name="PivotTable13"/>
  </pivotTables>
  <data>
    <tabular pivotCacheId="469757107">
      <items count="8">
        <i x="4" s="1"/>
        <i x="5" s="1"/>
        <i x="2" s="1"/>
        <i x="0" s="1"/>
        <i x="6" s="1"/>
        <i x="1" s="1"/>
        <i x="3" s="1"/>
        <i x="7" s="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Method1" xr10:uid="{E37B003D-26FD-406B-B4FA-0FF9C1E18564}" sourceName="Order Method">
  <pivotTables>
    <pivotTable tabId="27" name="PivotTable11"/>
    <pivotTable tabId="28" name="PivotTable12"/>
    <pivotTable tabId="31" name="PivotTable16"/>
    <pivotTable tabId="33" name="PivotTable18"/>
    <pivotTable tabId="30" name="PivotTable13"/>
  </pivotTables>
  <data>
    <tabular pivotCacheId="469757107">
      <items count="2">
        <i x="1" s="1"/>
        <i x="0" s="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Rep" xr10:uid="{56DFA137-ABEA-42E9-945F-A3320AD0B474}" sourceName="Sales Rep">
  <extLst>
    <x:ext xmlns:x15="http://schemas.microsoft.com/office/spreadsheetml/2010/11/main" uri="{2F2917AC-EB37-4324-AD4E-5DD8C200BD13}">
      <x15:tableSlicerCache tableId="3" column="7"/>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ethod" xr10:uid="{95934A04-A615-4645-97F5-4228AADB3A86}" sourceName="Payment Method">
  <extLst>
    <x:ext xmlns:x15="http://schemas.microsoft.com/office/spreadsheetml/2010/11/main" uri="{2F2917AC-EB37-4324-AD4E-5DD8C200BD13}">
      <x15:tableSlicerCache tableId="3" column="8"/>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3" xr10:uid="{1A6153B2-16B4-4D07-9FA1-F12331E16F43}" sourceName="Q3(Eligibility)">
  <extLst>
    <x:ext xmlns:x15="http://schemas.microsoft.com/office/spreadsheetml/2010/11/main" uri="{2F2917AC-EB37-4324-AD4E-5DD8C200BD13}">
      <x15:tableSlicerCache tableId="3"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39DC9FD0-60D8-4C24-AEC4-33680256FAC7}" cache="Slicer_Year1" caption="Year" rowHeight="257175"/>
  <slicer name="Division" xr10:uid="{513B732F-C8F9-4764-8E06-F8C7EED55E74}" cache="Slicer_Division" caption="Division" rowHeight="257175"/>
  <slicer name="Product Type" xr10:uid="{33F51CE4-7046-4036-82E3-C0AFDFDE39AF}" cache="Slicer_Product_Type" caption="Product Type" rowHeight="257175"/>
  <slicer name="Order Method" xr10:uid="{5386121B-B1BF-467F-BDA2-6026537C5C05}" cache="Slicer_Order_Method" caption="Order Method"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B9B64005-83B5-49A4-845F-7E9CCD9C66EF}" cache="Slicer_Year2" caption="Year" rowHeight="257175"/>
  <slicer name="Division 1" xr10:uid="{15844373-C245-46D1-AA50-C24939B13B9F}" cache="Slicer_Division1" caption="Division" rowHeight="257175"/>
  <slicer name="Product Type 1" xr10:uid="{663BB3ED-C925-43DA-8902-2A5758D7DEDC}" cache="Slicer_Product_Type1" caption="Product Type" rowHeight="257175"/>
  <slicer name="Order Method 1" xr10:uid="{24043FAA-F7F4-41A5-A511-1F9A9799AA37}" cache="Slicer_Order_Method1" caption="Order Method"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ales Rep" xr10:uid="{0CB0BFC5-38FF-4665-90F3-F84EFD238949}" cache="Slicer_Sales_Rep" caption="Sales Rep" rowHeight="257175"/>
  <slicer name="Payment Method" xr10:uid="{3D8A5546-8EC7-4C9D-87F4-80EA15820555}" cache="Slicer_Payment_Method" caption="Payment Method" rowHeight="257175"/>
  <slicer name="Q3" xr10:uid="{FC6D2B6B-F82D-4826-A6F4-19C7D3FD4890}" cache="Slicer_Q3" caption="Q3(Eligibility)" rowHeight="257175"/>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DEE4AAC5-2F0C-43C7-88D2-05F0596C4F4C}" cache="Slicer_Year" caption="Year" rowHeight="257175"/>
  <slicer name="Car 1" xr10:uid="{1773762F-2A85-4782-980D-B363164922F2}" cache="Slicer_Car" caption="Car" rowHeight="257175"/>
  <slicer name="Type 1" xr10:uid="{7880E99C-44AB-448F-81C0-4C4C02CC01B0}" cache="Slicer_Type" caption="Typ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7AF23C-034A-4261-B515-2808D8994550}" name="Table3" displayName="Table3" ref="A1:I41" totalsRowShown="0" headerRowDxfId="28" dataDxfId="27">
  <autoFilter ref="A1:I41" xr:uid="{837AF23C-034A-4261-B515-2808D8994550}"/>
  <tableColumns count="9">
    <tableColumn id="1" xr3:uid="{0BAC0A68-4910-4049-9CEF-39B8E15D46D9}" name="Customer ID" dataDxfId="26"/>
    <tableColumn id="2" xr3:uid="{0B5732A5-0027-4D08-BA1E-F10BF558EFB2}" name="Purchase date" dataDxfId="25"/>
    <tableColumn id="3" xr3:uid="{3E147822-7436-44EB-B52B-C16A1AE7EE74}" name="Product ID" dataDxfId="24"/>
    <tableColumn id="4" xr3:uid="{EF74E39B-EC98-4CF5-ABAD-FAF3DAAEDB6D}" name="Quantity" dataDxfId="23"/>
    <tableColumn id="5" xr3:uid="{895EA90F-263E-4EFA-92B9-A740EC558D30}" name="Unit Price" dataDxfId="22"/>
    <tableColumn id="6" xr3:uid="{CDBCEB30-FEC4-4F1E-A68C-07011326E072}" name="Total Price" dataDxfId="21"/>
    <tableColumn id="7" xr3:uid="{D476A50A-217C-4BCB-A617-B0CB402937DB}" name="Sales Rep" dataDxfId="20"/>
    <tableColumn id="8" xr3:uid="{9EA0BDCB-406D-4C73-AFCC-EF73401B15D2}" name="Payment Method" dataDxfId="19"/>
    <tableColumn id="9" xr3:uid="{D1481FF8-B055-43C7-9854-30D076C0C4EF}" name="Q3(Eligibility)" dataDxfId="18">
      <calculatedColumnFormula>IF(ISNA(MATCH(C2, W:W, 0)), "NO",
   IF(H2="Cash",
      IF(D2&gt;=IFERROR(INDEX(W:W, MATCH(C2, X:X, 0)), 0), "YES", "NO"),
      IF(D2&gt;=IFERROR(INDEX(Y:Y, MATCH(C2, X:X, 0)), 0), "YES", "NO")
   )
)</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842535E-A294-4F9A-8320-9B0C1B2D7E0D}" name="DS" displayName="DS" ref="A1:F41" totalsRowShown="0" headerRowDxfId="7">
  <autoFilter ref="A1:F41" xr:uid="{1842535E-A294-4F9A-8320-9B0C1B2D7E0D}">
    <filterColumn colId="0" hiddenButton="1"/>
    <filterColumn colId="1" hiddenButton="1"/>
    <filterColumn colId="2" hiddenButton="1"/>
    <filterColumn colId="3" hiddenButton="1"/>
    <filterColumn colId="4" hiddenButton="1"/>
    <filterColumn colId="5" hiddenButton="1"/>
  </autoFilter>
  <tableColumns count="6">
    <tableColumn id="1" xr3:uid="{0311E588-F5A6-4122-8719-8D68C783FF2A}" name="Customer ID"/>
    <tableColumn id="2" xr3:uid="{FE3646F7-ABD3-41EE-B2AA-369201E33402}" name="Name"/>
    <tableColumn id="3" xr3:uid="{2B7AD3F0-DE5B-4E48-A880-CBAFC82A75BC}" name="Product"/>
    <tableColumn id="4" xr3:uid="{B102783F-7A3F-4D10-A24A-CB6C45F236AB}" name="Product ID"/>
    <tableColumn id="5" xr3:uid="{033C8F28-D323-4F24-A991-FE0B22239270}" name="Purchase Date" dataDxfId="6"/>
    <tableColumn id="6" xr3:uid="{41855256-1722-4CD6-AA24-F5942E475A92}" name="Amount"/>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4.xml"/><Relationship Id="rId4" Type="http://schemas.openxmlformats.org/officeDocument/2006/relationships/image" Target="../media/image2.emf"/></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image" Target="../media/image5.emf"/></Relationships>
</file>

<file path=xl/worksheets/_rels/sheet6.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microsoft.com/office/2007/relationships/slicer" Target="../slicers/slicer4.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4.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5.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6.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7.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ivotTable" Target="../pivotTables/pivotTable8.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ivotTable" Target="../pivotTables/pivotTable9.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ivotTable" Target="../pivotTables/pivotTable10.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ivotTable" Target="../pivotTables/pivotTable1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ivotTable" Target="../pivotTables/pivotTable12.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ivotTable" Target="../pivotTables/pivot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D7638-3DD5-4B31-A62D-B482E1D8FB05}">
  <sheetPr codeName="Sheet2"/>
  <dimension ref="A1:H1"/>
  <sheetViews>
    <sheetView showGridLines="0" topLeftCell="A7" workbookViewId="0"/>
  </sheetViews>
  <sheetFormatPr defaultRowHeight="15" x14ac:dyDescent="0.25"/>
  <cols>
    <col min="1" max="1" width="5" bestFit="1" customWidth="1"/>
    <col min="2" max="2" width="7.85546875" bestFit="1" customWidth="1"/>
    <col min="3" max="4" width="16.5703125" bestFit="1" customWidth="1"/>
    <col min="5" max="5" width="16" bestFit="1" customWidth="1"/>
    <col min="6" max="6" width="16.42578125" bestFit="1" customWidth="1"/>
    <col min="7" max="7" width="17" bestFit="1" customWidth="1"/>
    <col min="8" max="8" width="13.7109375" bestFit="1" customWidth="1"/>
  </cols>
  <sheetData>
    <row r="1" spans="1:8" x14ac:dyDescent="0.25">
      <c r="A1" s="33"/>
      <c r="B1" s="33"/>
      <c r="C1" s="33"/>
      <c r="D1" s="33"/>
      <c r="E1" s="33"/>
      <c r="F1" s="33"/>
      <c r="G1" s="33"/>
      <c r="H1" s="33"/>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E14853-FFBA-4873-AE7B-53D51E3ABC94}">
  <sheetPr codeName="Sheet3"/>
  <dimension ref="A1"/>
  <sheetViews>
    <sheetView showGridLines="0" topLeftCell="A13" workbookViewId="0"/>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865CD-24B2-4CBF-9A45-9A4A97EB485B}">
  <sheetPr codeName="Sheet4"/>
  <dimension ref="A1:Z41"/>
  <sheetViews>
    <sheetView workbookViewId="0">
      <selection activeCell="W22" sqref="W22"/>
    </sheetView>
  </sheetViews>
  <sheetFormatPr defaultRowHeight="15" x14ac:dyDescent="0.25"/>
  <cols>
    <col min="1" max="2" width="10.5703125" style="14" customWidth="1"/>
    <col min="3" max="3" width="10" style="14" customWidth="1"/>
    <col min="4" max="4" width="8.5703125" style="14" customWidth="1"/>
    <col min="5" max="5" width="9.85546875" style="14" customWidth="1"/>
    <col min="6" max="6" width="10.140625" style="14" customWidth="1"/>
    <col min="7" max="7" width="8.28515625" style="14" customWidth="1"/>
    <col min="8" max="8" width="13.7109375" style="14" customWidth="1"/>
    <col min="9" max="9" width="11.85546875" style="14" customWidth="1"/>
    <col min="10" max="10" width="5.42578125" style="14" customWidth="1"/>
    <col min="11" max="17" width="9.140625" style="14"/>
    <col min="18" max="18" width="8.140625" style="14" customWidth="1"/>
    <col min="19" max="19" width="14" style="14" customWidth="1"/>
    <col min="20" max="20" width="9.140625" style="14"/>
    <col min="21" max="21" width="15.42578125" style="14" customWidth="1"/>
    <col min="22" max="22" width="9.140625" style="14"/>
    <col min="23" max="23" width="10.5703125" style="14" customWidth="1"/>
    <col min="24" max="24" width="15.28515625" style="18" customWidth="1"/>
    <col min="25" max="25" width="15.28515625" style="14" customWidth="1"/>
    <col min="26" max="16384" width="9.140625" style="14"/>
  </cols>
  <sheetData>
    <row r="1" spans="1:26" ht="15.75" customHeight="1" x14ac:dyDescent="0.25">
      <c r="A1" s="16" t="s">
        <v>24</v>
      </c>
      <c r="B1" s="16" t="s">
        <v>25</v>
      </c>
      <c r="C1" s="16" t="s">
        <v>26</v>
      </c>
      <c r="D1" s="16" t="s">
        <v>3</v>
      </c>
      <c r="E1" s="16" t="s">
        <v>27</v>
      </c>
      <c r="F1" s="16" t="s">
        <v>28</v>
      </c>
      <c r="G1" s="16" t="s">
        <v>29</v>
      </c>
      <c r="H1" s="16" t="s">
        <v>30</v>
      </c>
      <c r="I1" s="17" t="s">
        <v>111</v>
      </c>
      <c r="K1" s="44" t="s">
        <v>89</v>
      </c>
      <c r="L1" s="44"/>
      <c r="M1" s="44"/>
      <c r="N1" s="44"/>
      <c r="O1" s="44"/>
      <c r="P1" s="44"/>
      <c r="Q1" s="44"/>
      <c r="R1" s="44"/>
      <c r="S1" s="24" t="s">
        <v>90</v>
      </c>
      <c r="T1" s="44" t="s">
        <v>91</v>
      </c>
      <c r="U1" s="44"/>
      <c r="W1" s="48" t="s">
        <v>100</v>
      </c>
      <c r="X1" s="48"/>
      <c r="Y1" s="48"/>
    </row>
    <row r="2" spans="1:26" ht="16.5" customHeight="1" x14ac:dyDescent="0.25">
      <c r="A2" s="14" t="s">
        <v>31</v>
      </c>
      <c r="B2" s="15">
        <v>45352</v>
      </c>
      <c r="C2" s="14">
        <v>101</v>
      </c>
      <c r="D2" s="14">
        <v>2</v>
      </c>
      <c r="E2" s="14">
        <v>15.99</v>
      </c>
      <c r="F2" s="14">
        <v>31.98</v>
      </c>
      <c r="G2" s="14" t="s">
        <v>96</v>
      </c>
      <c r="H2" s="14" t="s">
        <v>34</v>
      </c>
      <c r="I2" s="14" t="str">
        <f t="shared" ref="I2:I41" si="0">IF(ISNA(MATCH(C2, W:W, 0)), "NO",
   IF(H2="Cash",
      IF(D2&gt;=IFERROR(INDEX(W:W, MATCH(C2, X:X, 0)), 0), "YES", "NO"),
      IF(D2&gt;=IFERROR(INDEX(Y:Y, MATCH(C2, X:X, 0)), 0), "YES", "NO")
   )
)</f>
        <v>NO</v>
      </c>
      <c r="K2" s="45">
        <v>1</v>
      </c>
      <c r="L2" s="46" t="s">
        <v>102</v>
      </c>
      <c r="M2" s="46"/>
      <c r="N2" s="46"/>
      <c r="O2" s="46"/>
      <c r="P2" s="46"/>
      <c r="Q2" s="46"/>
      <c r="R2" s="46"/>
      <c r="S2" s="45">
        <f>SUMIFS(D2:D41, G2:G41, "Miller", H2:H41, "Cash", B2:B41, "&gt;=" &amp; DATE(2024,3,1), B2:B41, "&lt;=" &amp; DATE(2024,3,10))</f>
        <v>7</v>
      </c>
      <c r="T2" s="52" t="s">
        <v>92</v>
      </c>
      <c r="U2" s="53"/>
      <c r="W2" s="45" t="s">
        <v>26</v>
      </c>
      <c r="X2" s="47" t="s">
        <v>94</v>
      </c>
      <c r="Y2" s="47" t="s">
        <v>95</v>
      </c>
      <c r="Z2" s="20"/>
    </row>
    <row r="3" spans="1:26" x14ac:dyDescent="0.25">
      <c r="A3" s="14" t="s">
        <v>35</v>
      </c>
      <c r="B3" s="15">
        <v>45353</v>
      </c>
      <c r="C3" s="14">
        <v>103</v>
      </c>
      <c r="D3" s="14">
        <v>1</v>
      </c>
      <c r="E3" s="14">
        <v>45.5</v>
      </c>
      <c r="F3" s="14">
        <v>45.5</v>
      </c>
      <c r="G3" s="14" t="s">
        <v>97</v>
      </c>
      <c r="H3" s="14" t="s">
        <v>38</v>
      </c>
      <c r="I3" s="14" t="str">
        <f t="shared" si="0"/>
        <v>NO</v>
      </c>
      <c r="K3" s="45"/>
      <c r="L3" s="46"/>
      <c r="M3" s="46"/>
      <c r="N3" s="46"/>
      <c r="O3" s="46"/>
      <c r="P3" s="46"/>
      <c r="Q3" s="46"/>
      <c r="R3" s="46"/>
      <c r="S3" s="45"/>
      <c r="T3" s="53"/>
      <c r="U3" s="53"/>
      <c r="W3" s="45"/>
      <c r="X3" s="47"/>
      <c r="Y3" s="47"/>
      <c r="Z3" s="20"/>
    </row>
    <row r="4" spans="1:26" ht="14.25" customHeight="1" x14ac:dyDescent="0.25">
      <c r="A4" s="14" t="s">
        <v>39</v>
      </c>
      <c r="B4" s="15">
        <v>45353</v>
      </c>
      <c r="C4" s="14">
        <v>104</v>
      </c>
      <c r="D4" s="14">
        <v>3</v>
      </c>
      <c r="E4" s="14">
        <v>12</v>
      </c>
      <c r="F4" s="14">
        <v>36</v>
      </c>
      <c r="G4" s="14" t="s">
        <v>98</v>
      </c>
      <c r="H4" s="14" t="s">
        <v>42</v>
      </c>
      <c r="I4" s="14" t="str">
        <f t="shared" si="0"/>
        <v>NO</v>
      </c>
      <c r="K4" s="45">
        <v>2</v>
      </c>
      <c r="L4" s="50" t="s">
        <v>93</v>
      </c>
      <c r="M4" s="50"/>
      <c r="N4" s="50"/>
      <c r="O4" s="50"/>
      <c r="P4" s="50"/>
      <c r="Q4" s="50"/>
      <c r="R4" s="50"/>
      <c r="S4" s="51" cm="1">
        <f t="array" ref="S4">COUNTA(
  _xlfn.UNIQUE(
    _xlfn._xlws.FILTER(
      A2:A41,
      (A2:A41&lt;&gt;"") * (C2:C41 &gt; 105) * (C2:C41 &lt; 110) * (B2:B41 &gt; DATE(2024,3,10))
    )
  )
)</f>
        <v>9</v>
      </c>
      <c r="T4" s="52" t="s">
        <v>92</v>
      </c>
      <c r="U4" s="52"/>
      <c r="W4" s="21">
        <v>106</v>
      </c>
      <c r="X4" s="22">
        <v>3</v>
      </c>
      <c r="Y4" s="21">
        <v>2</v>
      </c>
    </row>
    <row r="5" spans="1:26" x14ac:dyDescent="0.25">
      <c r="A5" s="14" t="s">
        <v>43</v>
      </c>
      <c r="B5" s="15">
        <v>45354</v>
      </c>
      <c r="C5" s="14">
        <v>101</v>
      </c>
      <c r="D5" s="14">
        <v>1</v>
      </c>
      <c r="E5" s="14">
        <v>15.99</v>
      </c>
      <c r="F5" s="14">
        <v>15.99</v>
      </c>
      <c r="G5" s="14" t="s">
        <v>99</v>
      </c>
      <c r="H5" s="14" t="s">
        <v>45</v>
      </c>
      <c r="I5" s="14" t="str">
        <f t="shared" si="0"/>
        <v>NO</v>
      </c>
      <c r="K5" s="45"/>
      <c r="L5" s="50"/>
      <c r="M5" s="50"/>
      <c r="N5" s="50"/>
      <c r="O5" s="50"/>
      <c r="P5" s="50"/>
      <c r="Q5" s="50"/>
      <c r="R5" s="50"/>
      <c r="S5" s="51"/>
      <c r="T5" s="52"/>
      <c r="U5" s="52"/>
      <c r="W5" s="21">
        <v>107</v>
      </c>
      <c r="X5" s="22">
        <v>3</v>
      </c>
      <c r="Y5" s="21">
        <v>2</v>
      </c>
    </row>
    <row r="6" spans="1:26" x14ac:dyDescent="0.25">
      <c r="A6" s="14" t="s">
        <v>46</v>
      </c>
      <c r="B6" s="15">
        <v>45355</v>
      </c>
      <c r="C6" s="14">
        <v>102</v>
      </c>
      <c r="D6" s="14">
        <v>5</v>
      </c>
      <c r="E6" s="14">
        <v>8.5</v>
      </c>
      <c r="F6" s="14">
        <v>42.5</v>
      </c>
      <c r="G6" s="14" t="s">
        <v>96</v>
      </c>
      <c r="H6" s="14" t="s">
        <v>34</v>
      </c>
      <c r="I6" s="14" t="str">
        <f t="shared" si="0"/>
        <v>NO</v>
      </c>
      <c r="K6" s="45"/>
      <c r="L6" s="50"/>
      <c r="M6" s="50"/>
      <c r="N6" s="50"/>
      <c r="O6" s="50"/>
      <c r="P6" s="50"/>
      <c r="Q6" s="50"/>
      <c r="R6" s="50"/>
      <c r="S6" s="51"/>
      <c r="T6" s="52"/>
      <c r="U6" s="52"/>
      <c r="W6" s="21">
        <v>108</v>
      </c>
      <c r="X6" s="22">
        <v>3</v>
      </c>
      <c r="Y6" s="21">
        <v>2</v>
      </c>
    </row>
    <row r="7" spans="1:26" ht="16.5" customHeight="1" x14ac:dyDescent="0.25">
      <c r="A7" s="14" t="s">
        <v>48</v>
      </c>
      <c r="B7" s="15">
        <v>45355</v>
      </c>
      <c r="C7" s="14">
        <v>105</v>
      </c>
      <c r="D7" s="14">
        <v>2</v>
      </c>
      <c r="E7" s="14">
        <v>22.3</v>
      </c>
      <c r="F7" s="14">
        <v>44.6</v>
      </c>
      <c r="G7" s="14" t="s">
        <v>97</v>
      </c>
      <c r="H7" s="14" t="s">
        <v>38</v>
      </c>
      <c r="I7" s="14" t="str">
        <f t="shared" si="0"/>
        <v>NO</v>
      </c>
      <c r="K7" s="45">
        <v>3</v>
      </c>
      <c r="L7" s="49" t="s">
        <v>207</v>
      </c>
      <c r="M7" s="49"/>
      <c r="N7" s="49"/>
      <c r="O7" s="49"/>
      <c r="P7" s="49"/>
      <c r="Q7" s="49"/>
      <c r="R7" s="49"/>
      <c r="S7" s="45" t="s">
        <v>101</v>
      </c>
      <c r="T7" s="45" t="s">
        <v>92</v>
      </c>
      <c r="U7" s="45"/>
      <c r="W7" s="21">
        <v>109</v>
      </c>
      <c r="X7" s="22">
        <v>3</v>
      </c>
      <c r="Y7" s="21">
        <v>2</v>
      </c>
    </row>
    <row r="8" spans="1:26" x14ac:dyDescent="0.25">
      <c r="A8" s="14" t="s">
        <v>50</v>
      </c>
      <c r="B8" s="15">
        <v>45356</v>
      </c>
      <c r="C8" s="14">
        <v>106</v>
      </c>
      <c r="D8" s="14">
        <v>4</v>
      </c>
      <c r="E8" s="14">
        <v>10</v>
      </c>
      <c r="F8" s="14">
        <v>40</v>
      </c>
      <c r="G8" s="14" t="s">
        <v>98</v>
      </c>
      <c r="H8" s="14" t="s">
        <v>42</v>
      </c>
      <c r="I8" s="14" t="str">
        <f t="shared" si="0"/>
        <v>YES</v>
      </c>
      <c r="K8" s="45"/>
      <c r="L8" s="49"/>
      <c r="M8" s="49"/>
      <c r="N8" s="49"/>
      <c r="O8" s="49"/>
      <c r="P8" s="49"/>
      <c r="Q8" s="49"/>
      <c r="R8" s="49"/>
      <c r="S8" s="45"/>
      <c r="T8" s="45"/>
      <c r="U8" s="45"/>
    </row>
    <row r="9" spans="1:26" x14ac:dyDescent="0.25">
      <c r="A9" s="14" t="s">
        <v>52</v>
      </c>
      <c r="B9" s="15">
        <v>45357</v>
      </c>
      <c r="C9" s="14">
        <v>101</v>
      </c>
      <c r="D9" s="14">
        <v>2</v>
      </c>
      <c r="E9" s="14">
        <v>15.99</v>
      </c>
      <c r="F9" s="14">
        <v>31.98</v>
      </c>
      <c r="G9" s="14" t="s">
        <v>99</v>
      </c>
      <c r="H9" s="14" t="s">
        <v>45</v>
      </c>
      <c r="I9" s="14" t="str">
        <f t="shared" si="0"/>
        <v>NO</v>
      </c>
      <c r="K9" s="45"/>
      <c r="L9" s="49"/>
      <c r="M9" s="49"/>
      <c r="N9" s="49"/>
      <c r="O9" s="49"/>
      <c r="P9" s="49"/>
      <c r="Q9" s="49"/>
      <c r="R9" s="49"/>
      <c r="S9" s="45"/>
      <c r="T9" s="45"/>
      <c r="U9" s="45"/>
    </row>
    <row r="10" spans="1:26" x14ac:dyDescent="0.25">
      <c r="A10" s="14" t="s">
        <v>53</v>
      </c>
      <c r="B10" s="15">
        <v>45358</v>
      </c>
      <c r="C10" s="14">
        <v>103</v>
      </c>
      <c r="D10" s="14">
        <v>3</v>
      </c>
      <c r="E10" s="14">
        <v>45.5</v>
      </c>
      <c r="F10" s="14">
        <v>136.5</v>
      </c>
      <c r="G10" s="14" t="s">
        <v>96</v>
      </c>
      <c r="H10" s="14" t="s">
        <v>34</v>
      </c>
      <c r="I10" s="14" t="str">
        <f t="shared" si="0"/>
        <v>NO</v>
      </c>
      <c r="L10" s="19"/>
      <c r="M10" s="19"/>
      <c r="N10" s="19"/>
      <c r="O10" s="19"/>
      <c r="P10" s="19"/>
      <c r="Q10" s="19"/>
      <c r="R10" s="19"/>
    </row>
    <row r="11" spans="1:26" x14ac:dyDescent="0.25">
      <c r="A11" s="14" t="s">
        <v>54</v>
      </c>
      <c r="B11" s="15">
        <v>45359</v>
      </c>
      <c r="C11" s="14">
        <v>107</v>
      </c>
      <c r="D11" s="14">
        <v>1</v>
      </c>
      <c r="E11" s="14">
        <v>60</v>
      </c>
      <c r="F11" s="14">
        <v>60</v>
      </c>
      <c r="G11" s="14" t="s">
        <v>97</v>
      </c>
      <c r="H11" s="14" t="s">
        <v>38</v>
      </c>
      <c r="I11" s="14" t="str">
        <f t="shared" si="0"/>
        <v>YES</v>
      </c>
      <c r="L11" s="19"/>
      <c r="M11" s="19"/>
      <c r="N11" s="19"/>
      <c r="O11" s="19"/>
      <c r="P11" s="19"/>
      <c r="Q11" s="19"/>
      <c r="R11" s="19"/>
    </row>
    <row r="12" spans="1:26" x14ac:dyDescent="0.25">
      <c r="A12" s="14" t="s">
        <v>56</v>
      </c>
      <c r="B12" s="15">
        <v>45359</v>
      </c>
      <c r="C12" s="14">
        <v>108</v>
      </c>
      <c r="D12" s="14">
        <v>2</v>
      </c>
      <c r="E12" s="14">
        <v>5</v>
      </c>
      <c r="F12" s="14">
        <v>10</v>
      </c>
      <c r="G12" s="14" t="s">
        <v>98</v>
      </c>
      <c r="H12" s="14" t="s">
        <v>42</v>
      </c>
      <c r="I12" s="14" t="str">
        <f t="shared" si="0"/>
        <v>YES</v>
      </c>
      <c r="L12" s="19"/>
      <c r="M12" s="19"/>
      <c r="N12" s="19"/>
      <c r="O12" s="19"/>
      <c r="P12" s="19"/>
      <c r="Q12" s="19"/>
      <c r="R12" s="19"/>
    </row>
    <row r="13" spans="1:26" x14ac:dyDescent="0.25">
      <c r="A13" s="14" t="s">
        <v>58</v>
      </c>
      <c r="B13" s="15">
        <v>45360</v>
      </c>
      <c r="C13" s="14">
        <v>102</v>
      </c>
      <c r="D13" s="14">
        <v>4</v>
      </c>
      <c r="E13" s="14">
        <v>8.5</v>
      </c>
      <c r="F13" s="14">
        <v>34</v>
      </c>
      <c r="G13" s="14" t="s">
        <v>99</v>
      </c>
      <c r="H13" s="14" t="s">
        <v>45</v>
      </c>
      <c r="I13" s="14" t="str">
        <f t="shared" si="0"/>
        <v>NO</v>
      </c>
    </row>
    <row r="14" spans="1:26" x14ac:dyDescent="0.25">
      <c r="A14" s="14" t="s">
        <v>59</v>
      </c>
      <c r="B14" s="15">
        <v>45361</v>
      </c>
      <c r="C14" s="14">
        <v>109</v>
      </c>
      <c r="D14" s="14">
        <v>2</v>
      </c>
      <c r="E14" s="14">
        <v>19.989999999999998</v>
      </c>
      <c r="F14" s="14">
        <v>39.979999999999997</v>
      </c>
      <c r="G14" s="14" t="s">
        <v>96</v>
      </c>
      <c r="H14" s="14" t="s">
        <v>34</v>
      </c>
      <c r="I14" s="14" t="str">
        <f t="shared" si="0"/>
        <v>YES</v>
      </c>
    </row>
    <row r="15" spans="1:26" x14ac:dyDescent="0.25">
      <c r="A15" s="14" t="s">
        <v>61</v>
      </c>
      <c r="B15" s="15">
        <v>45362</v>
      </c>
      <c r="C15" s="14">
        <v>110</v>
      </c>
      <c r="D15" s="14">
        <v>3</v>
      </c>
      <c r="E15" s="14">
        <v>25</v>
      </c>
      <c r="F15" s="14">
        <v>75</v>
      </c>
      <c r="G15" s="14" t="s">
        <v>97</v>
      </c>
      <c r="H15" s="14" t="s">
        <v>38</v>
      </c>
      <c r="I15" s="14" t="str">
        <f t="shared" si="0"/>
        <v>NO</v>
      </c>
    </row>
    <row r="16" spans="1:26" x14ac:dyDescent="0.25">
      <c r="A16" s="14" t="s">
        <v>63</v>
      </c>
      <c r="B16" s="15">
        <v>45362</v>
      </c>
      <c r="C16" s="14">
        <v>104</v>
      </c>
      <c r="D16" s="14">
        <v>1</v>
      </c>
      <c r="E16" s="14">
        <v>12</v>
      </c>
      <c r="F16" s="14">
        <v>12</v>
      </c>
      <c r="G16" s="14" t="s">
        <v>98</v>
      </c>
      <c r="H16" s="14" t="s">
        <v>42</v>
      </c>
      <c r="I16" s="14" t="str">
        <f t="shared" si="0"/>
        <v>NO</v>
      </c>
    </row>
    <row r="17" spans="1:18" x14ac:dyDescent="0.25">
      <c r="A17" s="14" t="s">
        <v>64</v>
      </c>
      <c r="B17" s="15">
        <v>45363</v>
      </c>
      <c r="C17" s="14">
        <v>106</v>
      </c>
      <c r="D17" s="14">
        <v>2</v>
      </c>
      <c r="E17" s="14">
        <v>10</v>
      </c>
      <c r="F17" s="14">
        <v>20</v>
      </c>
      <c r="G17" s="14" t="s">
        <v>99</v>
      </c>
      <c r="H17" s="14" t="s">
        <v>45</v>
      </c>
      <c r="I17" s="14" t="str">
        <f t="shared" si="0"/>
        <v>YES</v>
      </c>
    </row>
    <row r="18" spans="1:18" x14ac:dyDescent="0.25">
      <c r="A18" s="14" t="s">
        <v>65</v>
      </c>
      <c r="B18" s="15">
        <v>45364</v>
      </c>
      <c r="C18" s="14">
        <v>105</v>
      </c>
      <c r="D18" s="14">
        <v>4</v>
      </c>
      <c r="E18" s="14">
        <v>22.3</v>
      </c>
      <c r="F18" s="14">
        <v>89.2</v>
      </c>
      <c r="G18" s="14" t="s">
        <v>96</v>
      </c>
      <c r="H18" s="14" t="s">
        <v>34</v>
      </c>
      <c r="I18" s="14" t="str">
        <f t="shared" si="0"/>
        <v>NO</v>
      </c>
    </row>
    <row r="19" spans="1:18" x14ac:dyDescent="0.25">
      <c r="A19" s="14" t="s">
        <v>66</v>
      </c>
      <c r="B19" s="15">
        <v>45364</v>
      </c>
      <c r="C19" s="14">
        <v>101</v>
      </c>
      <c r="D19" s="14">
        <v>3</v>
      </c>
      <c r="E19" s="14">
        <v>15.99</v>
      </c>
      <c r="F19" s="14">
        <v>47.97</v>
      </c>
      <c r="G19" s="14" t="s">
        <v>97</v>
      </c>
      <c r="H19" s="14" t="s">
        <v>38</v>
      </c>
      <c r="I19" s="14" t="str">
        <f t="shared" si="0"/>
        <v>NO</v>
      </c>
    </row>
    <row r="20" spans="1:18" x14ac:dyDescent="0.25">
      <c r="A20" s="14" t="s">
        <v>67</v>
      </c>
      <c r="B20" s="15">
        <v>45365</v>
      </c>
      <c r="C20" s="14">
        <v>108</v>
      </c>
      <c r="D20" s="14">
        <v>1</v>
      </c>
      <c r="E20" s="14">
        <v>5</v>
      </c>
      <c r="F20" s="14">
        <v>5</v>
      </c>
      <c r="G20" s="14" t="s">
        <v>98</v>
      </c>
      <c r="H20" s="14" t="s">
        <v>42</v>
      </c>
      <c r="I20" s="14" t="str">
        <f t="shared" si="0"/>
        <v>YES</v>
      </c>
      <c r="Q20" s="11"/>
    </row>
    <row r="21" spans="1:18" x14ac:dyDescent="0.25">
      <c r="A21" s="14" t="s">
        <v>68</v>
      </c>
      <c r="B21" s="15">
        <v>45366</v>
      </c>
      <c r="C21" s="14">
        <v>110</v>
      </c>
      <c r="D21" s="14">
        <v>2</v>
      </c>
      <c r="E21" s="14">
        <v>25</v>
      </c>
      <c r="F21" s="14">
        <v>50</v>
      </c>
      <c r="G21" s="14" t="s">
        <v>99</v>
      </c>
      <c r="H21" s="14" t="s">
        <v>45</v>
      </c>
      <c r="I21" s="14" t="str">
        <f t="shared" si="0"/>
        <v>NO</v>
      </c>
    </row>
    <row r="22" spans="1:18" x14ac:dyDescent="0.25">
      <c r="A22" s="14" t="s">
        <v>69</v>
      </c>
      <c r="B22" s="15">
        <v>45366</v>
      </c>
      <c r="C22" s="14">
        <v>103</v>
      </c>
      <c r="D22" s="14">
        <v>2</v>
      </c>
      <c r="E22" s="14">
        <v>45.5</v>
      </c>
      <c r="F22" s="14">
        <v>91</v>
      </c>
      <c r="G22" s="14" t="s">
        <v>96</v>
      </c>
      <c r="H22" s="14" t="s">
        <v>34</v>
      </c>
      <c r="I22" s="14" t="str">
        <f t="shared" si="0"/>
        <v>NO</v>
      </c>
    </row>
    <row r="23" spans="1:18" x14ac:dyDescent="0.25">
      <c r="A23" s="14" t="s">
        <v>70</v>
      </c>
      <c r="B23" s="15">
        <v>45367</v>
      </c>
      <c r="C23" s="14">
        <v>109</v>
      </c>
      <c r="D23" s="14">
        <v>3</v>
      </c>
      <c r="E23" s="14">
        <v>19.989999999999998</v>
      </c>
      <c r="F23" s="14">
        <v>59.97</v>
      </c>
      <c r="G23" s="14" t="s">
        <v>97</v>
      </c>
      <c r="H23" s="14" t="s">
        <v>38</v>
      </c>
      <c r="I23" s="14" t="str">
        <f t="shared" si="0"/>
        <v>YES</v>
      </c>
      <c r="R23" s="11"/>
    </row>
    <row r="24" spans="1:18" x14ac:dyDescent="0.25">
      <c r="A24" s="14" t="s">
        <v>71</v>
      </c>
      <c r="B24" s="15">
        <v>45368</v>
      </c>
      <c r="C24" s="14">
        <v>107</v>
      </c>
      <c r="D24" s="14">
        <v>1</v>
      </c>
      <c r="E24" s="14">
        <v>60</v>
      </c>
      <c r="F24" s="14">
        <v>60</v>
      </c>
      <c r="G24" s="14" t="s">
        <v>98</v>
      </c>
      <c r="H24" s="14" t="s">
        <v>42</v>
      </c>
      <c r="I24" s="14" t="str">
        <f t="shared" si="0"/>
        <v>YES</v>
      </c>
    </row>
    <row r="25" spans="1:18" x14ac:dyDescent="0.25">
      <c r="A25" s="14" t="s">
        <v>72</v>
      </c>
      <c r="B25" s="15">
        <v>45368</v>
      </c>
      <c r="C25" s="14">
        <v>106</v>
      </c>
      <c r="D25" s="14">
        <v>3</v>
      </c>
      <c r="E25" s="14">
        <v>10</v>
      </c>
      <c r="F25" s="14">
        <v>30</v>
      </c>
      <c r="G25" s="14" t="s">
        <v>99</v>
      </c>
      <c r="H25" s="14" t="s">
        <v>45</v>
      </c>
      <c r="I25" s="14" t="str">
        <f t="shared" si="0"/>
        <v>YES</v>
      </c>
    </row>
    <row r="26" spans="1:18" x14ac:dyDescent="0.25">
      <c r="A26" s="14" t="s">
        <v>73</v>
      </c>
      <c r="B26" s="15">
        <v>45369</v>
      </c>
      <c r="C26" s="14">
        <v>104</v>
      </c>
      <c r="D26" s="14">
        <v>2</v>
      </c>
      <c r="E26" s="14">
        <v>12</v>
      </c>
      <c r="F26" s="14">
        <v>24</v>
      </c>
      <c r="G26" s="14" t="s">
        <v>96</v>
      </c>
      <c r="H26" s="14" t="s">
        <v>34</v>
      </c>
      <c r="I26" s="14" t="str">
        <f t="shared" si="0"/>
        <v>NO</v>
      </c>
    </row>
    <row r="27" spans="1:18" x14ac:dyDescent="0.25">
      <c r="A27" s="14" t="s">
        <v>74</v>
      </c>
      <c r="B27" s="15">
        <v>45369</v>
      </c>
      <c r="C27" s="14">
        <v>102</v>
      </c>
      <c r="D27" s="14">
        <v>5</v>
      </c>
      <c r="E27" s="14">
        <v>8.5</v>
      </c>
      <c r="F27" s="14">
        <v>42.5</v>
      </c>
      <c r="G27" s="14" t="s">
        <v>97</v>
      </c>
      <c r="H27" s="14" t="s">
        <v>38</v>
      </c>
      <c r="I27" s="14" t="str">
        <f t="shared" si="0"/>
        <v>NO</v>
      </c>
    </row>
    <row r="28" spans="1:18" x14ac:dyDescent="0.25">
      <c r="A28" s="14" t="s">
        <v>75</v>
      </c>
      <c r="B28" s="15">
        <v>45370</v>
      </c>
      <c r="C28" s="14">
        <v>110</v>
      </c>
      <c r="D28" s="14">
        <v>1</v>
      </c>
      <c r="E28" s="14">
        <v>25</v>
      </c>
      <c r="F28" s="14">
        <v>25</v>
      </c>
      <c r="G28" s="14" t="s">
        <v>98</v>
      </c>
      <c r="H28" s="14" t="s">
        <v>42</v>
      </c>
      <c r="I28" s="14" t="str">
        <f t="shared" si="0"/>
        <v>NO</v>
      </c>
    </row>
    <row r="29" spans="1:18" x14ac:dyDescent="0.25">
      <c r="A29" s="14" t="s">
        <v>76</v>
      </c>
      <c r="B29" s="15">
        <v>45371</v>
      </c>
      <c r="C29" s="14">
        <v>101</v>
      </c>
      <c r="D29" s="14">
        <v>2</v>
      </c>
      <c r="E29" s="14">
        <v>15.99</v>
      </c>
      <c r="F29" s="14">
        <v>31.98</v>
      </c>
      <c r="G29" s="14" t="s">
        <v>99</v>
      </c>
      <c r="H29" s="14" t="s">
        <v>45</v>
      </c>
      <c r="I29" s="14" t="str">
        <f t="shared" si="0"/>
        <v>NO</v>
      </c>
    </row>
    <row r="30" spans="1:18" x14ac:dyDescent="0.25">
      <c r="A30" s="14" t="s">
        <v>77</v>
      </c>
      <c r="B30" s="15">
        <v>45371</v>
      </c>
      <c r="C30" s="14">
        <v>105</v>
      </c>
      <c r="D30" s="14">
        <v>3</v>
      </c>
      <c r="E30" s="14">
        <v>22.3</v>
      </c>
      <c r="F30" s="14">
        <v>66.900000000000006</v>
      </c>
      <c r="G30" s="14" t="s">
        <v>96</v>
      </c>
      <c r="H30" s="14" t="s">
        <v>34</v>
      </c>
      <c r="I30" s="14" t="str">
        <f t="shared" si="0"/>
        <v>NO</v>
      </c>
    </row>
    <row r="31" spans="1:18" x14ac:dyDescent="0.25">
      <c r="A31" s="14" t="s">
        <v>78</v>
      </c>
      <c r="B31" s="15">
        <v>45372</v>
      </c>
      <c r="C31" s="14">
        <v>103</v>
      </c>
      <c r="D31" s="14">
        <v>1</v>
      </c>
      <c r="E31" s="14">
        <v>45.5</v>
      </c>
      <c r="F31" s="14">
        <v>45.5</v>
      </c>
      <c r="G31" s="14" t="s">
        <v>97</v>
      </c>
      <c r="H31" s="14" t="s">
        <v>38</v>
      </c>
      <c r="I31" s="14" t="str">
        <f t="shared" si="0"/>
        <v>NO</v>
      </c>
    </row>
    <row r="32" spans="1:18" x14ac:dyDescent="0.25">
      <c r="A32" s="14" t="s">
        <v>79</v>
      </c>
      <c r="B32" s="15">
        <v>45372</v>
      </c>
      <c r="C32" s="14">
        <v>104</v>
      </c>
      <c r="D32" s="14">
        <v>4</v>
      </c>
      <c r="E32" s="14">
        <v>12</v>
      </c>
      <c r="F32" s="14">
        <v>48</v>
      </c>
      <c r="G32" s="14" t="s">
        <v>98</v>
      </c>
      <c r="H32" s="14" t="s">
        <v>42</v>
      </c>
      <c r="I32" s="14" t="str">
        <f t="shared" si="0"/>
        <v>NO</v>
      </c>
    </row>
    <row r="33" spans="1:9" x14ac:dyDescent="0.25">
      <c r="A33" s="14" t="s">
        <v>80</v>
      </c>
      <c r="B33" s="15">
        <v>45373</v>
      </c>
      <c r="C33" s="14">
        <v>102</v>
      </c>
      <c r="D33" s="14">
        <v>2</v>
      </c>
      <c r="E33" s="14">
        <v>8.5</v>
      </c>
      <c r="F33" s="14">
        <v>17</v>
      </c>
      <c r="G33" s="14" t="s">
        <v>99</v>
      </c>
      <c r="H33" s="14" t="s">
        <v>45</v>
      </c>
      <c r="I33" s="14" t="str">
        <f t="shared" si="0"/>
        <v>NO</v>
      </c>
    </row>
    <row r="34" spans="1:9" x14ac:dyDescent="0.25">
      <c r="A34" s="14" t="s">
        <v>81</v>
      </c>
      <c r="B34" s="15">
        <v>45373</v>
      </c>
      <c r="C34" s="14">
        <v>109</v>
      </c>
      <c r="D34" s="14">
        <v>1</v>
      </c>
      <c r="E34" s="14">
        <v>19.989999999999998</v>
      </c>
      <c r="F34" s="14">
        <v>19.989999999999998</v>
      </c>
      <c r="G34" s="14" t="s">
        <v>96</v>
      </c>
      <c r="H34" s="14" t="s">
        <v>34</v>
      </c>
      <c r="I34" s="14" t="str">
        <f t="shared" si="0"/>
        <v>YES</v>
      </c>
    </row>
    <row r="35" spans="1:9" x14ac:dyDescent="0.25">
      <c r="A35" s="14" t="s">
        <v>82</v>
      </c>
      <c r="B35" s="15">
        <v>45374</v>
      </c>
      <c r="C35" s="14">
        <v>107</v>
      </c>
      <c r="D35" s="14">
        <v>2</v>
      </c>
      <c r="E35" s="14">
        <v>60</v>
      </c>
      <c r="F35" s="14">
        <v>120</v>
      </c>
      <c r="G35" s="14" t="s">
        <v>97</v>
      </c>
      <c r="H35" s="14" t="s">
        <v>38</v>
      </c>
      <c r="I35" s="14" t="str">
        <f t="shared" si="0"/>
        <v>YES</v>
      </c>
    </row>
    <row r="36" spans="1:9" x14ac:dyDescent="0.25">
      <c r="A36" s="14" t="s">
        <v>83</v>
      </c>
      <c r="B36" s="15">
        <v>45374</v>
      </c>
      <c r="C36" s="14">
        <v>106</v>
      </c>
      <c r="D36" s="14">
        <v>1</v>
      </c>
      <c r="E36" s="14">
        <v>10</v>
      </c>
      <c r="F36" s="14">
        <v>10</v>
      </c>
      <c r="G36" s="14" t="s">
        <v>98</v>
      </c>
      <c r="H36" s="14" t="s">
        <v>42</v>
      </c>
      <c r="I36" s="14" t="str">
        <f t="shared" si="0"/>
        <v>YES</v>
      </c>
    </row>
    <row r="37" spans="1:9" x14ac:dyDescent="0.25">
      <c r="A37" s="14" t="s">
        <v>84</v>
      </c>
      <c r="B37" s="15">
        <v>45375</v>
      </c>
      <c r="C37" s="14">
        <v>101</v>
      </c>
      <c r="D37" s="14">
        <v>3</v>
      </c>
      <c r="E37" s="14">
        <v>15.99</v>
      </c>
      <c r="F37" s="14">
        <v>47.97</v>
      </c>
      <c r="G37" s="14" t="s">
        <v>99</v>
      </c>
      <c r="H37" s="14" t="s">
        <v>45</v>
      </c>
      <c r="I37" s="14" t="str">
        <f t="shared" si="0"/>
        <v>NO</v>
      </c>
    </row>
    <row r="38" spans="1:9" x14ac:dyDescent="0.25">
      <c r="A38" s="14" t="s">
        <v>85</v>
      </c>
      <c r="B38" s="15">
        <v>45376</v>
      </c>
      <c r="C38" s="14">
        <v>108</v>
      </c>
      <c r="D38" s="14">
        <v>4</v>
      </c>
      <c r="E38" s="14">
        <v>5</v>
      </c>
      <c r="F38" s="14">
        <v>20</v>
      </c>
      <c r="G38" s="14" t="s">
        <v>96</v>
      </c>
      <c r="H38" s="14" t="s">
        <v>34</v>
      </c>
      <c r="I38" s="14" t="str">
        <f t="shared" si="0"/>
        <v>YES</v>
      </c>
    </row>
    <row r="39" spans="1:9" x14ac:dyDescent="0.25">
      <c r="A39" s="14" t="s">
        <v>86</v>
      </c>
      <c r="B39" s="15">
        <v>45376</v>
      </c>
      <c r="C39" s="14">
        <v>110</v>
      </c>
      <c r="D39" s="14">
        <v>2</v>
      </c>
      <c r="E39" s="14">
        <v>25</v>
      </c>
      <c r="F39" s="14">
        <v>50</v>
      </c>
      <c r="G39" s="14" t="s">
        <v>97</v>
      </c>
      <c r="H39" s="14" t="s">
        <v>38</v>
      </c>
      <c r="I39" s="14" t="str">
        <f t="shared" si="0"/>
        <v>NO</v>
      </c>
    </row>
    <row r="40" spans="1:9" x14ac:dyDescent="0.25">
      <c r="A40" s="14" t="s">
        <v>87</v>
      </c>
      <c r="B40" s="15">
        <v>45377</v>
      </c>
      <c r="C40" s="14">
        <v>103</v>
      </c>
      <c r="D40" s="14">
        <v>2</v>
      </c>
      <c r="E40" s="14">
        <v>45.5</v>
      </c>
      <c r="F40" s="14">
        <v>91</v>
      </c>
      <c r="G40" s="14" t="s">
        <v>98</v>
      </c>
      <c r="H40" s="14" t="s">
        <v>42</v>
      </c>
      <c r="I40" s="14" t="str">
        <f t="shared" si="0"/>
        <v>NO</v>
      </c>
    </row>
    <row r="41" spans="1:9" x14ac:dyDescent="0.25">
      <c r="A41" s="14" t="s">
        <v>88</v>
      </c>
      <c r="B41" s="15">
        <v>45377</v>
      </c>
      <c r="C41" s="14">
        <v>105</v>
      </c>
      <c r="D41" s="14">
        <v>1</v>
      </c>
      <c r="E41" s="14">
        <v>22.3</v>
      </c>
      <c r="F41" s="14">
        <v>22.3</v>
      </c>
      <c r="G41" s="14" t="s">
        <v>99</v>
      </c>
      <c r="H41" s="14" t="s">
        <v>45</v>
      </c>
      <c r="I41" s="14" t="str">
        <f t="shared" si="0"/>
        <v>NO</v>
      </c>
    </row>
  </sheetData>
  <mergeCells count="18">
    <mergeCell ref="Y2:Y3"/>
    <mergeCell ref="W1:Y1"/>
    <mergeCell ref="L7:R9"/>
    <mergeCell ref="K7:K9"/>
    <mergeCell ref="S7:S9"/>
    <mergeCell ref="W2:W3"/>
    <mergeCell ref="X2:X3"/>
    <mergeCell ref="T1:U1"/>
    <mergeCell ref="S2:S3"/>
    <mergeCell ref="L4:R6"/>
    <mergeCell ref="S4:S6"/>
    <mergeCell ref="T2:U3"/>
    <mergeCell ref="T4:U6"/>
    <mergeCell ref="K1:R1"/>
    <mergeCell ref="K2:K3"/>
    <mergeCell ref="L2:R3"/>
    <mergeCell ref="T7:U9"/>
    <mergeCell ref="K4:K6"/>
  </mergeCells>
  <conditionalFormatting sqref="I1:I1048576">
    <cfRule type="iconSet" priority="1">
      <iconSet iconSet="3Symbols">
        <cfvo type="percent" val="0"/>
        <cfvo type="percent" val="33"/>
        <cfvo type="percent" val="67"/>
      </iconSet>
    </cfRule>
    <cfRule type="containsText" dxfId="34" priority="6" operator="containsText" text="NO">
      <formula>NOT(ISERROR(SEARCH("NO",I1)))</formula>
    </cfRule>
    <cfRule type="containsText" dxfId="33" priority="9" operator="containsText" text="NO">
      <formula>NOT(ISERROR(SEARCH("NO",I1)))</formula>
    </cfRule>
    <cfRule type="containsText" dxfId="32" priority="10" operator="containsText" text="NO">
      <formula>NOT(ISERROR(SEARCH("NO",I1)))</formula>
    </cfRule>
    <cfRule type="containsText" dxfId="31" priority="11" operator="containsText" text="NO">
      <formula>NOT(ISERROR(SEARCH("NO",I1)))</formula>
    </cfRule>
    <cfRule type="containsText" dxfId="30" priority="12" operator="containsText" text="YES">
      <formula>NOT(ISERROR(SEARCH("YES",I1)))</formula>
    </cfRule>
    <cfRule type="containsText" dxfId="29" priority="13" operator="containsText" text="NO">
      <formula>NOT(ISERROR(SEARCH("NO",I1)))</formula>
    </cfRule>
  </conditionalFormatting>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C11F8-1609-4F0F-9278-D6C700D6CB98}">
  <sheetPr codeName="Sheet1"/>
  <dimension ref="A2:F45"/>
  <sheetViews>
    <sheetView workbookViewId="0">
      <selection activeCell="P23" sqref="P23"/>
    </sheetView>
  </sheetViews>
  <sheetFormatPr defaultRowHeight="15" x14ac:dyDescent="0.25"/>
  <cols>
    <col min="1" max="1" width="12.42578125" bestFit="1" customWidth="1"/>
    <col min="4" max="4" width="12.42578125" bestFit="1" customWidth="1"/>
  </cols>
  <sheetData>
    <row r="2" spans="1:6" x14ac:dyDescent="0.25">
      <c r="B2" t="s">
        <v>121</v>
      </c>
    </row>
    <row r="4" spans="1:6" x14ac:dyDescent="0.25">
      <c r="F4" s="43" t="s">
        <v>208</v>
      </c>
    </row>
    <row r="5" spans="1:6" x14ac:dyDescent="0.25">
      <c r="A5" s="36" t="s">
        <v>24</v>
      </c>
      <c r="B5" s="36" t="s">
        <v>103</v>
      </c>
      <c r="C5" s="36" t="s">
        <v>112</v>
      </c>
      <c r="D5" s="36" t="s">
        <v>26</v>
      </c>
      <c r="E5" s="36" t="s">
        <v>113</v>
      </c>
      <c r="F5" s="36" t="s">
        <v>114</v>
      </c>
    </row>
    <row r="6" spans="1:6" x14ac:dyDescent="0.25">
      <c r="A6" s="37" t="s">
        <v>31</v>
      </c>
      <c r="B6" s="37" t="s">
        <v>121</v>
      </c>
      <c r="C6" s="37" t="s">
        <v>115</v>
      </c>
      <c r="D6" s="37" t="s">
        <v>32</v>
      </c>
      <c r="E6" s="38">
        <v>45356</v>
      </c>
      <c r="F6" s="37">
        <v>1200</v>
      </c>
    </row>
    <row r="7" spans="1:6" x14ac:dyDescent="0.25">
      <c r="A7" s="37" t="s">
        <v>35</v>
      </c>
      <c r="B7" s="37" t="s">
        <v>122</v>
      </c>
      <c r="C7" s="37" t="s">
        <v>119</v>
      </c>
      <c r="D7" s="37" t="s">
        <v>47</v>
      </c>
      <c r="E7" s="38">
        <v>45359</v>
      </c>
      <c r="F7" s="37">
        <v>800</v>
      </c>
    </row>
    <row r="8" spans="1:6" x14ac:dyDescent="0.25">
      <c r="A8" s="37" t="s">
        <v>39</v>
      </c>
      <c r="B8" s="37" t="s">
        <v>123</v>
      </c>
      <c r="C8" s="37" t="s">
        <v>116</v>
      </c>
      <c r="D8" s="37" t="s">
        <v>36</v>
      </c>
      <c r="E8" s="38">
        <v>45363</v>
      </c>
      <c r="F8" s="37">
        <v>950</v>
      </c>
    </row>
    <row r="9" spans="1:6" x14ac:dyDescent="0.25">
      <c r="A9" s="37" t="s">
        <v>43</v>
      </c>
      <c r="B9" s="37" t="s">
        <v>124</v>
      </c>
      <c r="C9" s="37" t="s">
        <v>117</v>
      </c>
      <c r="D9" s="37" t="s">
        <v>40</v>
      </c>
      <c r="E9" s="38">
        <v>45366</v>
      </c>
      <c r="F9" s="37">
        <v>450</v>
      </c>
    </row>
    <row r="10" spans="1:6" x14ac:dyDescent="0.25">
      <c r="A10" s="37" t="s">
        <v>46</v>
      </c>
      <c r="B10" s="37" t="s">
        <v>120</v>
      </c>
      <c r="C10" s="37" t="s">
        <v>118</v>
      </c>
      <c r="D10" s="37" t="s">
        <v>49</v>
      </c>
      <c r="E10" s="38">
        <v>45369</v>
      </c>
      <c r="F10" s="37">
        <v>150</v>
      </c>
    </row>
    <row r="11" spans="1:6" x14ac:dyDescent="0.25">
      <c r="A11" s="37" t="s">
        <v>48</v>
      </c>
      <c r="B11" s="37" t="s">
        <v>125</v>
      </c>
      <c r="C11" s="37" t="s">
        <v>115</v>
      </c>
      <c r="D11" s="37" t="s">
        <v>32</v>
      </c>
      <c r="E11" s="38">
        <v>45371</v>
      </c>
      <c r="F11" s="37">
        <v>1200</v>
      </c>
    </row>
    <row r="12" spans="1:6" x14ac:dyDescent="0.25">
      <c r="A12" s="37" t="s">
        <v>50</v>
      </c>
      <c r="B12" s="37" t="s">
        <v>126</v>
      </c>
      <c r="C12" s="37" t="s">
        <v>119</v>
      </c>
      <c r="D12" s="37" t="s">
        <v>47</v>
      </c>
      <c r="E12" s="38">
        <v>45373</v>
      </c>
      <c r="F12" s="37">
        <v>800</v>
      </c>
    </row>
    <row r="13" spans="1:6" x14ac:dyDescent="0.25">
      <c r="A13" s="37" t="s">
        <v>52</v>
      </c>
      <c r="B13" s="37" t="s">
        <v>127</v>
      </c>
      <c r="C13" s="37" t="s">
        <v>116</v>
      </c>
      <c r="D13" s="37" t="s">
        <v>36</v>
      </c>
      <c r="E13" s="38">
        <v>45375</v>
      </c>
      <c r="F13" s="37">
        <v>950</v>
      </c>
    </row>
    <row r="14" spans="1:6" x14ac:dyDescent="0.25">
      <c r="A14" s="37" t="s">
        <v>53</v>
      </c>
      <c r="B14" s="37" t="s">
        <v>128</v>
      </c>
      <c r="C14" s="37" t="s">
        <v>117</v>
      </c>
      <c r="D14" s="37" t="s">
        <v>40</v>
      </c>
      <c r="E14" s="38">
        <v>45376</v>
      </c>
      <c r="F14" s="37">
        <v>450</v>
      </c>
    </row>
    <row r="15" spans="1:6" x14ac:dyDescent="0.25">
      <c r="A15" s="37" t="s">
        <v>54</v>
      </c>
      <c r="B15" s="37" t="s">
        <v>129</v>
      </c>
      <c r="C15" s="37" t="s">
        <v>118</v>
      </c>
      <c r="D15" s="37" t="s">
        <v>49</v>
      </c>
      <c r="E15" s="38">
        <v>45378</v>
      </c>
      <c r="F15" s="37">
        <v>150</v>
      </c>
    </row>
    <row r="16" spans="1:6" x14ac:dyDescent="0.25">
      <c r="A16" s="37" t="s">
        <v>56</v>
      </c>
      <c r="B16" s="37" t="s">
        <v>130</v>
      </c>
      <c r="C16" s="37" t="s">
        <v>115</v>
      </c>
      <c r="D16" s="37" t="s">
        <v>32</v>
      </c>
      <c r="E16" s="38">
        <v>45379</v>
      </c>
      <c r="F16" s="37">
        <v>1200</v>
      </c>
    </row>
    <row r="17" spans="1:6" x14ac:dyDescent="0.25">
      <c r="A17" s="37" t="s">
        <v>58</v>
      </c>
      <c r="B17" s="37" t="s">
        <v>131</v>
      </c>
      <c r="C17" s="37" t="s">
        <v>119</v>
      </c>
      <c r="D17" s="37" t="s">
        <v>47</v>
      </c>
      <c r="E17" s="38">
        <v>45380</v>
      </c>
      <c r="F17" s="37">
        <v>800</v>
      </c>
    </row>
    <row r="18" spans="1:6" x14ac:dyDescent="0.25">
      <c r="A18" s="37" t="s">
        <v>59</v>
      </c>
      <c r="B18" s="37" t="s">
        <v>132</v>
      </c>
      <c r="C18" s="37" t="s">
        <v>116</v>
      </c>
      <c r="D18" s="37" t="s">
        <v>36</v>
      </c>
      <c r="E18" s="38">
        <v>45381</v>
      </c>
      <c r="F18" s="37">
        <v>950</v>
      </c>
    </row>
    <row r="19" spans="1:6" x14ac:dyDescent="0.25">
      <c r="A19" s="37" t="s">
        <v>61</v>
      </c>
      <c r="B19" s="37" t="s">
        <v>133</v>
      </c>
      <c r="C19" s="37" t="s">
        <v>117</v>
      </c>
      <c r="D19" s="37" t="s">
        <v>40</v>
      </c>
      <c r="E19" s="38">
        <v>45383</v>
      </c>
      <c r="F19" s="37">
        <v>450</v>
      </c>
    </row>
    <row r="20" spans="1:6" x14ac:dyDescent="0.25">
      <c r="A20" s="37" t="s">
        <v>63</v>
      </c>
      <c r="B20" s="37" t="s">
        <v>134</v>
      </c>
      <c r="C20" s="37" t="s">
        <v>118</v>
      </c>
      <c r="D20" s="37" t="s">
        <v>49</v>
      </c>
      <c r="E20" s="38">
        <v>45384</v>
      </c>
      <c r="F20" s="37">
        <v>150</v>
      </c>
    </row>
    <row r="21" spans="1:6" x14ac:dyDescent="0.25">
      <c r="A21" s="37" t="s">
        <v>64</v>
      </c>
      <c r="B21" s="37" t="s">
        <v>135</v>
      </c>
      <c r="C21" s="37" t="s">
        <v>115</v>
      </c>
      <c r="D21" s="37" t="s">
        <v>32</v>
      </c>
      <c r="E21" s="38">
        <v>45385</v>
      </c>
      <c r="F21" s="37">
        <v>1200</v>
      </c>
    </row>
    <row r="22" spans="1:6" x14ac:dyDescent="0.25">
      <c r="A22" s="37" t="s">
        <v>65</v>
      </c>
      <c r="B22" s="37" t="s">
        <v>136</v>
      </c>
      <c r="C22" s="37" t="s">
        <v>119</v>
      </c>
      <c r="D22" s="37" t="s">
        <v>47</v>
      </c>
      <c r="E22" s="38">
        <v>45386</v>
      </c>
      <c r="F22" s="37">
        <v>800</v>
      </c>
    </row>
    <row r="23" spans="1:6" x14ac:dyDescent="0.25">
      <c r="A23" s="37" t="s">
        <v>66</v>
      </c>
      <c r="B23" s="37" t="s">
        <v>137</v>
      </c>
      <c r="C23" s="37" t="s">
        <v>116</v>
      </c>
      <c r="D23" s="37" t="s">
        <v>36</v>
      </c>
      <c r="E23" s="38">
        <v>45387</v>
      </c>
      <c r="F23" s="37">
        <v>950</v>
      </c>
    </row>
    <row r="24" spans="1:6" x14ac:dyDescent="0.25">
      <c r="A24" s="37" t="s">
        <v>67</v>
      </c>
      <c r="B24" s="37" t="s">
        <v>138</v>
      </c>
      <c r="C24" s="37" t="s">
        <v>117</v>
      </c>
      <c r="D24" s="37" t="s">
        <v>40</v>
      </c>
      <c r="E24" s="38">
        <v>45388</v>
      </c>
      <c r="F24" s="37">
        <v>450</v>
      </c>
    </row>
    <row r="25" spans="1:6" x14ac:dyDescent="0.25">
      <c r="A25" s="37" t="s">
        <v>68</v>
      </c>
      <c r="B25" s="37" t="s">
        <v>139</v>
      </c>
      <c r="C25" s="37" t="s">
        <v>118</v>
      </c>
      <c r="D25" s="37" t="s">
        <v>49</v>
      </c>
      <c r="E25" s="38">
        <v>45389</v>
      </c>
      <c r="F25" s="37">
        <v>150</v>
      </c>
    </row>
    <row r="26" spans="1:6" x14ac:dyDescent="0.25">
      <c r="A26" s="37" t="s">
        <v>69</v>
      </c>
      <c r="B26" s="37" t="s">
        <v>140</v>
      </c>
      <c r="C26" s="37" t="s">
        <v>115</v>
      </c>
      <c r="D26" s="37" t="s">
        <v>32</v>
      </c>
      <c r="E26" s="38">
        <v>45390</v>
      </c>
      <c r="F26" s="37">
        <v>1200</v>
      </c>
    </row>
    <row r="27" spans="1:6" x14ac:dyDescent="0.25">
      <c r="A27" s="37" t="s">
        <v>70</v>
      </c>
      <c r="B27" s="37" t="s">
        <v>141</v>
      </c>
      <c r="C27" s="37" t="s">
        <v>119</v>
      </c>
      <c r="D27" s="37" t="s">
        <v>47</v>
      </c>
      <c r="E27" s="38">
        <v>45391</v>
      </c>
      <c r="F27" s="37">
        <v>800</v>
      </c>
    </row>
    <row r="28" spans="1:6" x14ac:dyDescent="0.25">
      <c r="A28" s="37" t="s">
        <v>71</v>
      </c>
      <c r="B28" s="37" t="s">
        <v>142</v>
      </c>
      <c r="C28" s="37" t="s">
        <v>116</v>
      </c>
      <c r="D28" s="37" t="s">
        <v>36</v>
      </c>
      <c r="E28" s="38">
        <v>45392</v>
      </c>
      <c r="F28" s="37">
        <v>950</v>
      </c>
    </row>
    <row r="29" spans="1:6" x14ac:dyDescent="0.25">
      <c r="A29" s="37" t="s">
        <v>72</v>
      </c>
      <c r="B29" s="37" t="s">
        <v>143</v>
      </c>
      <c r="C29" s="37" t="s">
        <v>117</v>
      </c>
      <c r="D29" s="37" t="s">
        <v>40</v>
      </c>
      <c r="E29" s="38">
        <v>45393</v>
      </c>
      <c r="F29" s="37">
        <v>450</v>
      </c>
    </row>
    <row r="30" spans="1:6" x14ac:dyDescent="0.25">
      <c r="A30" s="37" t="s">
        <v>73</v>
      </c>
      <c r="B30" s="37" t="s">
        <v>144</v>
      </c>
      <c r="C30" s="37" t="s">
        <v>118</v>
      </c>
      <c r="D30" s="37" t="s">
        <v>49</v>
      </c>
      <c r="E30" s="38">
        <v>45394</v>
      </c>
      <c r="F30" s="37">
        <v>150</v>
      </c>
    </row>
    <row r="31" spans="1:6" x14ac:dyDescent="0.25">
      <c r="A31" s="37" t="s">
        <v>74</v>
      </c>
      <c r="B31" s="37" t="s">
        <v>145</v>
      </c>
      <c r="C31" s="37" t="s">
        <v>115</v>
      </c>
      <c r="D31" s="37" t="s">
        <v>32</v>
      </c>
      <c r="E31" s="38">
        <v>45395</v>
      </c>
      <c r="F31" s="37">
        <v>1200</v>
      </c>
    </row>
    <row r="32" spans="1:6" x14ac:dyDescent="0.25">
      <c r="A32" s="37" t="s">
        <v>75</v>
      </c>
      <c r="B32" s="37" t="s">
        <v>146</v>
      </c>
      <c r="C32" s="37" t="s">
        <v>119</v>
      </c>
      <c r="D32" s="37" t="s">
        <v>47</v>
      </c>
      <c r="E32" s="38">
        <v>45396</v>
      </c>
      <c r="F32" s="37">
        <v>800</v>
      </c>
    </row>
    <row r="33" spans="1:6" x14ac:dyDescent="0.25">
      <c r="A33" s="37" t="s">
        <v>76</v>
      </c>
      <c r="B33" s="37" t="s">
        <v>147</v>
      </c>
      <c r="C33" s="37" t="s">
        <v>116</v>
      </c>
      <c r="D33" s="37" t="s">
        <v>36</v>
      </c>
      <c r="E33" s="38">
        <v>45397</v>
      </c>
      <c r="F33" s="37">
        <v>950</v>
      </c>
    </row>
    <row r="34" spans="1:6" x14ac:dyDescent="0.25">
      <c r="A34" s="37" t="s">
        <v>77</v>
      </c>
      <c r="B34" s="37" t="s">
        <v>148</v>
      </c>
      <c r="C34" s="37" t="s">
        <v>117</v>
      </c>
      <c r="D34" s="37" t="s">
        <v>40</v>
      </c>
      <c r="E34" s="38">
        <v>45398</v>
      </c>
      <c r="F34" s="37">
        <v>450</v>
      </c>
    </row>
    <row r="35" spans="1:6" x14ac:dyDescent="0.25">
      <c r="A35" s="37" t="s">
        <v>78</v>
      </c>
      <c r="B35" s="37" t="s">
        <v>149</v>
      </c>
      <c r="C35" s="37" t="s">
        <v>118</v>
      </c>
      <c r="D35" s="37" t="s">
        <v>49</v>
      </c>
      <c r="E35" s="38">
        <v>45399</v>
      </c>
      <c r="F35" s="37">
        <v>150</v>
      </c>
    </row>
    <row r="36" spans="1:6" x14ac:dyDescent="0.25">
      <c r="A36" s="37" t="s">
        <v>79</v>
      </c>
      <c r="B36" s="37" t="s">
        <v>150</v>
      </c>
      <c r="C36" s="37" t="s">
        <v>115</v>
      </c>
      <c r="D36" s="37" t="s">
        <v>32</v>
      </c>
      <c r="E36" s="38">
        <v>45400</v>
      </c>
      <c r="F36" s="37">
        <v>1200</v>
      </c>
    </row>
    <row r="37" spans="1:6" x14ac:dyDescent="0.25">
      <c r="A37" s="37" t="s">
        <v>80</v>
      </c>
      <c r="B37" s="37" t="s">
        <v>151</v>
      </c>
      <c r="C37" s="37" t="s">
        <v>119</v>
      </c>
      <c r="D37" s="37" t="s">
        <v>47</v>
      </c>
      <c r="E37" s="38">
        <v>45401</v>
      </c>
      <c r="F37" s="37">
        <v>800</v>
      </c>
    </row>
    <row r="38" spans="1:6" x14ac:dyDescent="0.25">
      <c r="A38" s="37" t="s">
        <v>81</v>
      </c>
      <c r="B38" s="37" t="s">
        <v>152</v>
      </c>
      <c r="C38" s="37" t="s">
        <v>116</v>
      </c>
      <c r="D38" s="37" t="s">
        <v>36</v>
      </c>
      <c r="E38" s="38">
        <v>45402</v>
      </c>
      <c r="F38" s="37">
        <v>950</v>
      </c>
    </row>
    <row r="39" spans="1:6" x14ac:dyDescent="0.25">
      <c r="A39" s="37" t="s">
        <v>82</v>
      </c>
      <c r="B39" s="37" t="s">
        <v>153</v>
      </c>
      <c r="C39" s="37" t="s">
        <v>117</v>
      </c>
      <c r="D39" s="37" t="s">
        <v>40</v>
      </c>
      <c r="E39" s="38">
        <v>45403</v>
      </c>
      <c r="F39" s="37">
        <v>450</v>
      </c>
    </row>
    <row r="40" spans="1:6" x14ac:dyDescent="0.25">
      <c r="A40" s="37" t="s">
        <v>83</v>
      </c>
      <c r="B40" s="37" t="s">
        <v>154</v>
      </c>
      <c r="C40" s="37" t="s">
        <v>118</v>
      </c>
      <c r="D40" s="37" t="s">
        <v>49</v>
      </c>
      <c r="E40" s="38">
        <v>45404</v>
      </c>
      <c r="F40" s="37">
        <v>150</v>
      </c>
    </row>
    <row r="41" spans="1:6" x14ac:dyDescent="0.25">
      <c r="A41" s="37" t="s">
        <v>84</v>
      </c>
      <c r="B41" s="37" t="s">
        <v>155</v>
      </c>
      <c r="C41" s="37" t="s">
        <v>115</v>
      </c>
      <c r="D41" s="37" t="s">
        <v>32</v>
      </c>
      <c r="E41" s="38">
        <v>45405</v>
      </c>
      <c r="F41" s="37">
        <v>1200</v>
      </c>
    </row>
    <row r="42" spans="1:6" x14ac:dyDescent="0.25">
      <c r="A42" s="37" t="s">
        <v>85</v>
      </c>
      <c r="B42" s="37" t="s">
        <v>156</v>
      </c>
      <c r="C42" s="37" t="s">
        <v>119</v>
      </c>
      <c r="D42" s="37" t="s">
        <v>47</v>
      </c>
      <c r="E42" s="38">
        <v>45406</v>
      </c>
      <c r="F42" s="37">
        <v>800</v>
      </c>
    </row>
    <row r="43" spans="1:6" x14ac:dyDescent="0.25">
      <c r="A43" s="37" t="s">
        <v>86</v>
      </c>
      <c r="B43" s="37" t="s">
        <v>157</v>
      </c>
      <c r="C43" s="37" t="s">
        <v>116</v>
      </c>
      <c r="D43" s="37" t="s">
        <v>36</v>
      </c>
      <c r="E43" s="38">
        <v>45407</v>
      </c>
      <c r="F43" s="37">
        <v>950</v>
      </c>
    </row>
    <row r="44" spans="1:6" x14ac:dyDescent="0.25">
      <c r="A44" s="37" t="s">
        <v>87</v>
      </c>
      <c r="B44" s="37" t="s">
        <v>158</v>
      </c>
      <c r="C44" s="37" t="s">
        <v>117</v>
      </c>
      <c r="D44" s="37" t="s">
        <v>40</v>
      </c>
      <c r="E44" s="38">
        <v>45408</v>
      </c>
      <c r="F44" s="37">
        <v>450</v>
      </c>
    </row>
    <row r="45" spans="1:6" x14ac:dyDescent="0.25">
      <c r="A45" s="37" t="s">
        <v>88</v>
      </c>
      <c r="B45" s="37" t="s">
        <v>159</v>
      </c>
      <c r="C45" s="37" t="s">
        <v>118</v>
      </c>
      <c r="D45" s="37" t="s">
        <v>49</v>
      </c>
      <c r="E45" s="38">
        <v>45409</v>
      </c>
      <c r="F45" s="37">
        <v>150</v>
      </c>
    </row>
  </sheetData>
  <conditionalFormatting sqref="A5:F45">
    <cfRule type="expression" dxfId="17" priority="1">
      <formula>AND(SEARCH($F$4,A5),$F$4&lt;&gt;"")</formula>
    </cfRule>
    <cfRule type="expression" dxfId="16" priority="2">
      <formula>"AND(SEARCH($F$4,D7),$F$4&lt;&gt;'')"</formula>
    </cfRule>
  </conditionalFormatting>
  <pageMargins left="0.7" right="0.7" top="0.75" bottom="0.75" header="0.3" footer="0.3"/>
  <drawing r:id="rId1"/>
  <legacyDrawing r:id="rId2"/>
  <controls>
    <mc:AlternateContent xmlns:mc="http://schemas.openxmlformats.org/markup-compatibility/2006">
      <mc:Choice Requires="x14">
        <control shapeId="23562" r:id="rId3" name="TextBox2">
          <controlPr defaultSize="0" autoLine="0" linkedCell="F4" r:id="rId4">
            <anchor moveWithCells="1">
              <from>
                <xdr:col>0</xdr:col>
                <xdr:colOff>457200</xdr:colOff>
                <xdr:row>1</xdr:row>
                <xdr:rowOff>66675</xdr:rowOff>
              </from>
              <to>
                <xdr:col>4</xdr:col>
                <xdr:colOff>428625</xdr:colOff>
                <xdr:row>2</xdr:row>
                <xdr:rowOff>123825</xdr:rowOff>
              </to>
            </anchor>
          </controlPr>
        </control>
      </mc:Choice>
      <mc:Fallback>
        <control shapeId="23562" r:id="rId3" name="TextBox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DE9F6-8D69-420A-946B-78DF5A352FA6}">
  <sheetPr codeName="Sheet22"/>
  <dimension ref="E2:J7"/>
  <sheetViews>
    <sheetView showGridLines="0" topLeftCell="B1" workbookViewId="0">
      <selection activeCell="I9" sqref="I9"/>
    </sheetView>
  </sheetViews>
  <sheetFormatPr defaultRowHeight="15" x14ac:dyDescent="0.25"/>
  <cols>
    <col min="5" max="5" width="14.5703125" customWidth="1"/>
    <col min="7" max="7" width="10.140625" customWidth="1"/>
    <col min="8" max="8" width="12.5703125" customWidth="1"/>
    <col min="9" max="9" width="16.140625" customWidth="1"/>
    <col min="10" max="10" width="10.140625" customWidth="1"/>
    <col min="14" max="14" width="12.42578125" bestFit="1" customWidth="1"/>
  </cols>
  <sheetData>
    <row r="2" spans="5:10" x14ac:dyDescent="0.25">
      <c r="E2" t="s">
        <v>208</v>
      </c>
    </row>
    <row r="6" spans="5:10" x14ac:dyDescent="0.25">
      <c r="E6" s="40" t="s">
        <v>24</v>
      </c>
      <c r="F6" s="41" t="s">
        <v>103</v>
      </c>
      <c r="G6" s="41" t="s">
        <v>112</v>
      </c>
      <c r="H6" s="41" t="s">
        <v>26</v>
      </c>
      <c r="I6" s="41" t="s">
        <v>113</v>
      </c>
      <c r="J6" s="42" t="s">
        <v>114</v>
      </c>
    </row>
    <row r="7" spans="5:10" x14ac:dyDescent="0.25">
      <c r="E7" t="e" cm="1">
        <f t="array" ref="E7:J7" ca="1">_xlfn._xlws.FILTER(DS[], ISNUMBER(SEARCH($E$2, Name)), "Not found")</f>
        <v>#NAME?</v>
      </c>
      <c r="F7" t="e">
        <f ca="1"/>
        <v>#NAME?</v>
      </c>
      <c r="G7" t="e">
        <f ca="1"/>
        <v>#NAME?</v>
      </c>
      <c r="H7" t="e">
        <f ca="1"/>
        <v>#NAME?</v>
      </c>
      <c r="I7" t="e">
        <f ca="1"/>
        <v>#NAME?</v>
      </c>
      <c r="J7" t="e">
        <f ca="1"/>
        <v>#NAME?</v>
      </c>
    </row>
  </sheetData>
  <conditionalFormatting sqref="E6:J6">
    <cfRule type="expression" dxfId="15" priority="7">
      <formula>AND(SEARCH($F$4,E6),$F$4&lt;&gt;"")</formula>
    </cfRule>
    <cfRule type="expression" dxfId="14" priority="8">
      <formula>"AND(SEARCH($F$4,D7),$F$4&lt;&gt;'')"</formula>
    </cfRule>
  </conditionalFormatting>
  <conditionalFormatting sqref="E7">
    <cfRule type="notContainsBlanks" dxfId="13" priority="4">
      <formula>LEN(TRIM(E7))&gt;0</formula>
    </cfRule>
    <cfRule type="notContainsBlanks" dxfId="12" priority="6">
      <formula>LEN(TRIM(E7))&gt;0</formula>
    </cfRule>
  </conditionalFormatting>
  <conditionalFormatting sqref="E8">
    <cfRule type="notContainsBlanks" dxfId="11" priority="5">
      <formula>LEN(TRIM(E8))&gt;0</formula>
    </cfRule>
  </conditionalFormatting>
  <conditionalFormatting sqref="E7:J46">
    <cfRule type="notContainsBlanks" dxfId="10" priority="1">
      <formula>LEN(TRIM(E7))&gt;0</formula>
    </cfRule>
    <cfRule type="notContainsBlanks" dxfId="9" priority="2">
      <formula>LEN(TRIM(E7))&gt;0</formula>
    </cfRule>
    <cfRule type="notContainsBlanks" dxfId="8" priority="3">
      <formula>LEN(TRIM(E7))&gt;0</formula>
    </cfRule>
  </conditionalFormatting>
  <pageMargins left="0.7" right="0.7" top="0.75" bottom="0.75" header="0.3" footer="0.3"/>
  <drawing r:id="rId1"/>
  <legacyDrawing r:id="rId2"/>
  <controls>
    <mc:AlternateContent xmlns:mc="http://schemas.openxmlformats.org/markup-compatibility/2006">
      <mc:Choice Requires="x14">
        <control shapeId="45059" r:id="rId3" name="TextBox1">
          <controlPr defaultSize="0" autoLine="0" autoPict="0" linkedCell="E2" r:id="rId4">
            <anchor moveWithCells="1">
              <from>
                <xdr:col>4</xdr:col>
                <xdr:colOff>466725</xdr:colOff>
                <xdr:row>1</xdr:row>
                <xdr:rowOff>95250</xdr:rowOff>
              </from>
              <to>
                <xdr:col>9</xdr:col>
                <xdr:colOff>428625</xdr:colOff>
                <xdr:row>2</xdr:row>
                <xdr:rowOff>171450</xdr:rowOff>
              </to>
            </anchor>
          </controlPr>
        </control>
      </mc:Choice>
      <mc:Fallback>
        <control shapeId="45059" r:id="rId3" name="TextBox1"/>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04D20-EA1E-4931-926B-8178DBF8A1FA}">
  <sheetPr codeName="Sheet23"/>
  <dimension ref="A1:F41"/>
  <sheetViews>
    <sheetView workbookViewId="0">
      <selection activeCell="R38" sqref="R38"/>
    </sheetView>
  </sheetViews>
  <sheetFormatPr defaultRowHeight="15" x14ac:dyDescent="0.25"/>
  <sheetData>
    <row r="1" spans="1:6" x14ac:dyDescent="0.25">
      <c r="A1" s="39" t="s">
        <v>24</v>
      </c>
      <c r="B1" s="39" t="s">
        <v>103</v>
      </c>
      <c r="C1" s="39" t="s">
        <v>112</v>
      </c>
      <c r="D1" s="39" t="s">
        <v>26</v>
      </c>
      <c r="E1" s="39" t="s">
        <v>113</v>
      </c>
      <c r="F1" s="39" t="s">
        <v>114</v>
      </c>
    </row>
    <row r="2" spans="1:6" x14ac:dyDescent="0.25">
      <c r="A2" t="s">
        <v>31</v>
      </c>
      <c r="B2" t="s">
        <v>121</v>
      </c>
      <c r="C2" t="s">
        <v>115</v>
      </c>
      <c r="D2" t="s">
        <v>32</v>
      </c>
      <c r="E2" s="13">
        <v>45356</v>
      </c>
      <c r="F2">
        <v>1200</v>
      </c>
    </row>
    <row r="3" spans="1:6" x14ac:dyDescent="0.25">
      <c r="A3" t="s">
        <v>35</v>
      </c>
      <c r="B3" t="s">
        <v>122</v>
      </c>
      <c r="C3" t="s">
        <v>119</v>
      </c>
      <c r="D3" t="s">
        <v>47</v>
      </c>
      <c r="E3" s="13">
        <v>45359</v>
      </c>
      <c r="F3">
        <v>800</v>
      </c>
    </row>
    <row r="4" spans="1:6" x14ac:dyDescent="0.25">
      <c r="A4" t="s">
        <v>39</v>
      </c>
      <c r="B4" t="s">
        <v>123</v>
      </c>
      <c r="C4" t="s">
        <v>116</v>
      </c>
      <c r="D4" t="s">
        <v>36</v>
      </c>
      <c r="E4" s="13">
        <v>45363</v>
      </c>
      <c r="F4">
        <v>950</v>
      </c>
    </row>
    <row r="5" spans="1:6" x14ac:dyDescent="0.25">
      <c r="A5" t="s">
        <v>43</v>
      </c>
      <c r="B5" t="s">
        <v>124</v>
      </c>
      <c r="C5" t="s">
        <v>117</v>
      </c>
      <c r="D5" t="s">
        <v>40</v>
      </c>
      <c r="E5" s="13">
        <v>45366</v>
      </c>
      <c r="F5">
        <v>450</v>
      </c>
    </row>
    <row r="6" spans="1:6" x14ac:dyDescent="0.25">
      <c r="A6" t="s">
        <v>46</v>
      </c>
      <c r="B6" t="s">
        <v>120</v>
      </c>
      <c r="C6" t="s">
        <v>118</v>
      </c>
      <c r="D6" t="s">
        <v>49</v>
      </c>
      <c r="E6" s="13">
        <v>45369</v>
      </c>
      <c r="F6">
        <v>150</v>
      </c>
    </row>
    <row r="7" spans="1:6" x14ac:dyDescent="0.25">
      <c r="A7" t="s">
        <v>48</v>
      </c>
      <c r="B7" t="s">
        <v>125</v>
      </c>
      <c r="C7" t="s">
        <v>115</v>
      </c>
      <c r="D7" t="s">
        <v>32</v>
      </c>
      <c r="E7" s="13">
        <v>45371</v>
      </c>
      <c r="F7">
        <v>1200</v>
      </c>
    </row>
    <row r="8" spans="1:6" x14ac:dyDescent="0.25">
      <c r="A8" t="s">
        <v>50</v>
      </c>
      <c r="B8" t="s">
        <v>126</v>
      </c>
      <c r="C8" t="s">
        <v>119</v>
      </c>
      <c r="D8" t="s">
        <v>47</v>
      </c>
      <c r="E8" s="13">
        <v>45373</v>
      </c>
      <c r="F8">
        <v>800</v>
      </c>
    </row>
    <row r="9" spans="1:6" x14ac:dyDescent="0.25">
      <c r="A9" t="s">
        <v>52</v>
      </c>
      <c r="B9" t="s">
        <v>127</v>
      </c>
      <c r="C9" t="s">
        <v>116</v>
      </c>
      <c r="D9" t="s">
        <v>36</v>
      </c>
      <c r="E9" s="13">
        <v>45375</v>
      </c>
      <c r="F9">
        <v>950</v>
      </c>
    </row>
    <row r="10" spans="1:6" x14ac:dyDescent="0.25">
      <c r="A10" t="s">
        <v>53</v>
      </c>
      <c r="B10" t="s">
        <v>128</v>
      </c>
      <c r="C10" t="s">
        <v>117</v>
      </c>
      <c r="D10" t="s">
        <v>40</v>
      </c>
      <c r="E10" s="13">
        <v>45376</v>
      </c>
      <c r="F10">
        <v>450</v>
      </c>
    </row>
    <row r="11" spans="1:6" x14ac:dyDescent="0.25">
      <c r="A11" t="s">
        <v>54</v>
      </c>
      <c r="B11" t="s">
        <v>129</v>
      </c>
      <c r="C11" t="s">
        <v>118</v>
      </c>
      <c r="D11" t="s">
        <v>49</v>
      </c>
      <c r="E11" s="13">
        <v>45378</v>
      </c>
      <c r="F11">
        <v>150</v>
      </c>
    </row>
    <row r="12" spans="1:6" x14ac:dyDescent="0.25">
      <c r="A12" t="s">
        <v>56</v>
      </c>
      <c r="B12" t="s">
        <v>130</v>
      </c>
      <c r="C12" t="s">
        <v>115</v>
      </c>
      <c r="D12" t="s">
        <v>32</v>
      </c>
      <c r="E12" s="13">
        <v>45379</v>
      </c>
      <c r="F12">
        <v>1200</v>
      </c>
    </row>
    <row r="13" spans="1:6" x14ac:dyDescent="0.25">
      <c r="A13" t="s">
        <v>58</v>
      </c>
      <c r="B13" t="s">
        <v>131</v>
      </c>
      <c r="C13" t="s">
        <v>119</v>
      </c>
      <c r="D13" t="s">
        <v>47</v>
      </c>
      <c r="E13" s="13">
        <v>45380</v>
      </c>
      <c r="F13">
        <v>800</v>
      </c>
    </row>
    <row r="14" spans="1:6" x14ac:dyDescent="0.25">
      <c r="A14" t="s">
        <v>59</v>
      </c>
      <c r="B14" t="s">
        <v>132</v>
      </c>
      <c r="C14" t="s">
        <v>116</v>
      </c>
      <c r="D14" t="s">
        <v>36</v>
      </c>
      <c r="E14" s="13">
        <v>45381</v>
      </c>
      <c r="F14">
        <v>950</v>
      </c>
    </row>
    <row r="15" spans="1:6" x14ac:dyDescent="0.25">
      <c r="A15" t="s">
        <v>61</v>
      </c>
      <c r="B15" t="s">
        <v>133</v>
      </c>
      <c r="C15" t="s">
        <v>117</v>
      </c>
      <c r="D15" t="s">
        <v>40</v>
      </c>
      <c r="E15" s="13">
        <v>45383</v>
      </c>
      <c r="F15">
        <v>450</v>
      </c>
    </row>
    <row r="16" spans="1:6" x14ac:dyDescent="0.25">
      <c r="A16" t="s">
        <v>63</v>
      </c>
      <c r="B16" t="s">
        <v>134</v>
      </c>
      <c r="C16" t="s">
        <v>118</v>
      </c>
      <c r="D16" t="s">
        <v>49</v>
      </c>
      <c r="E16" s="13">
        <v>45384</v>
      </c>
      <c r="F16">
        <v>150</v>
      </c>
    </row>
    <row r="17" spans="1:6" x14ac:dyDescent="0.25">
      <c r="A17" t="s">
        <v>64</v>
      </c>
      <c r="B17" t="s">
        <v>135</v>
      </c>
      <c r="C17" t="s">
        <v>115</v>
      </c>
      <c r="D17" t="s">
        <v>32</v>
      </c>
      <c r="E17" s="13">
        <v>45385</v>
      </c>
      <c r="F17">
        <v>1200</v>
      </c>
    </row>
    <row r="18" spans="1:6" x14ac:dyDescent="0.25">
      <c r="A18" t="s">
        <v>65</v>
      </c>
      <c r="B18" t="s">
        <v>136</v>
      </c>
      <c r="C18" t="s">
        <v>119</v>
      </c>
      <c r="D18" t="s">
        <v>47</v>
      </c>
      <c r="E18" s="13">
        <v>45386</v>
      </c>
      <c r="F18">
        <v>800</v>
      </c>
    </row>
    <row r="19" spans="1:6" x14ac:dyDescent="0.25">
      <c r="A19" t="s">
        <v>66</v>
      </c>
      <c r="B19" t="s">
        <v>137</v>
      </c>
      <c r="C19" t="s">
        <v>116</v>
      </c>
      <c r="D19" t="s">
        <v>36</v>
      </c>
      <c r="E19" s="13">
        <v>45387</v>
      </c>
      <c r="F19">
        <v>950</v>
      </c>
    </row>
    <row r="20" spans="1:6" x14ac:dyDescent="0.25">
      <c r="A20" t="s">
        <v>67</v>
      </c>
      <c r="B20" t="s">
        <v>138</v>
      </c>
      <c r="C20" t="s">
        <v>117</v>
      </c>
      <c r="D20" t="s">
        <v>40</v>
      </c>
      <c r="E20" s="13">
        <v>45388</v>
      </c>
      <c r="F20">
        <v>450</v>
      </c>
    </row>
    <row r="21" spans="1:6" x14ac:dyDescent="0.25">
      <c r="A21" t="s">
        <v>68</v>
      </c>
      <c r="B21" t="s">
        <v>139</v>
      </c>
      <c r="C21" t="s">
        <v>118</v>
      </c>
      <c r="D21" t="s">
        <v>49</v>
      </c>
      <c r="E21" s="13">
        <v>45389</v>
      </c>
      <c r="F21">
        <v>150</v>
      </c>
    </row>
    <row r="22" spans="1:6" x14ac:dyDescent="0.25">
      <c r="A22" t="s">
        <v>69</v>
      </c>
      <c r="B22" t="s">
        <v>140</v>
      </c>
      <c r="C22" t="s">
        <v>115</v>
      </c>
      <c r="D22" t="s">
        <v>32</v>
      </c>
      <c r="E22" s="13">
        <v>45390</v>
      </c>
      <c r="F22">
        <v>1200</v>
      </c>
    </row>
    <row r="23" spans="1:6" x14ac:dyDescent="0.25">
      <c r="A23" t="s">
        <v>70</v>
      </c>
      <c r="B23" t="s">
        <v>141</v>
      </c>
      <c r="C23" t="s">
        <v>119</v>
      </c>
      <c r="D23" t="s">
        <v>47</v>
      </c>
      <c r="E23" s="13">
        <v>45391</v>
      </c>
      <c r="F23">
        <v>800</v>
      </c>
    </row>
    <row r="24" spans="1:6" x14ac:dyDescent="0.25">
      <c r="A24" t="s">
        <v>71</v>
      </c>
      <c r="B24" t="s">
        <v>142</v>
      </c>
      <c r="C24" t="s">
        <v>116</v>
      </c>
      <c r="D24" t="s">
        <v>36</v>
      </c>
      <c r="E24" s="13">
        <v>45392</v>
      </c>
      <c r="F24">
        <v>950</v>
      </c>
    </row>
    <row r="25" spans="1:6" x14ac:dyDescent="0.25">
      <c r="A25" t="s">
        <v>72</v>
      </c>
      <c r="B25" t="s">
        <v>143</v>
      </c>
      <c r="C25" t="s">
        <v>117</v>
      </c>
      <c r="D25" t="s">
        <v>40</v>
      </c>
      <c r="E25" s="13">
        <v>45393</v>
      </c>
      <c r="F25">
        <v>450</v>
      </c>
    </row>
    <row r="26" spans="1:6" x14ac:dyDescent="0.25">
      <c r="A26" t="s">
        <v>73</v>
      </c>
      <c r="B26" t="s">
        <v>144</v>
      </c>
      <c r="C26" t="s">
        <v>118</v>
      </c>
      <c r="D26" t="s">
        <v>49</v>
      </c>
      <c r="E26" s="13">
        <v>45394</v>
      </c>
      <c r="F26">
        <v>150</v>
      </c>
    </row>
    <row r="27" spans="1:6" x14ac:dyDescent="0.25">
      <c r="A27" t="s">
        <v>74</v>
      </c>
      <c r="B27" t="s">
        <v>145</v>
      </c>
      <c r="C27" t="s">
        <v>115</v>
      </c>
      <c r="D27" t="s">
        <v>32</v>
      </c>
      <c r="E27" s="13">
        <v>45395</v>
      </c>
      <c r="F27">
        <v>1200</v>
      </c>
    </row>
    <row r="28" spans="1:6" x14ac:dyDescent="0.25">
      <c r="A28" t="s">
        <v>75</v>
      </c>
      <c r="B28" t="s">
        <v>146</v>
      </c>
      <c r="C28" t="s">
        <v>119</v>
      </c>
      <c r="D28" t="s">
        <v>47</v>
      </c>
      <c r="E28" s="13">
        <v>45396</v>
      </c>
      <c r="F28">
        <v>800</v>
      </c>
    </row>
    <row r="29" spans="1:6" x14ac:dyDescent="0.25">
      <c r="A29" t="s">
        <v>76</v>
      </c>
      <c r="B29" t="s">
        <v>147</v>
      </c>
      <c r="C29" t="s">
        <v>116</v>
      </c>
      <c r="D29" t="s">
        <v>36</v>
      </c>
      <c r="E29" s="13">
        <v>45397</v>
      </c>
      <c r="F29">
        <v>950</v>
      </c>
    </row>
    <row r="30" spans="1:6" x14ac:dyDescent="0.25">
      <c r="A30" t="s">
        <v>77</v>
      </c>
      <c r="B30" t="s">
        <v>148</v>
      </c>
      <c r="C30" t="s">
        <v>117</v>
      </c>
      <c r="D30" t="s">
        <v>40</v>
      </c>
      <c r="E30" s="13">
        <v>45398</v>
      </c>
      <c r="F30">
        <v>450</v>
      </c>
    </row>
    <row r="31" spans="1:6" x14ac:dyDescent="0.25">
      <c r="A31" t="s">
        <v>78</v>
      </c>
      <c r="B31" t="s">
        <v>149</v>
      </c>
      <c r="C31" t="s">
        <v>118</v>
      </c>
      <c r="D31" t="s">
        <v>49</v>
      </c>
      <c r="E31" s="13">
        <v>45399</v>
      </c>
      <c r="F31">
        <v>150</v>
      </c>
    </row>
    <row r="32" spans="1:6" x14ac:dyDescent="0.25">
      <c r="A32" t="s">
        <v>79</v>
      </c>
      <c r="B32" t="s">
        <v>150</v>
      </c>
      <c r="C32" t="s">
        <v>115</v>
      </c>
      <c r="D32" t="s">
        <v>32</v>
      </c>
      <c r="E32" s="13">
        <v>45400</v>
      </c>
      <c r="F32">
        <v>1200</v>
      </c>
    </row>
    <row r="33" spans="1:6" x14ac:dyDescent="0.25">
      <c r="A33" t="s">
        <v>80</v>
      </c>
      <c r="B33" t="s">
        <v>151</v>
      </c>
      <c r="C33" t="s">
        <v>119</v>
      </c>
      <c r="D33" t="s">
        <v>47</v>
      </c>
      <c r="E33" s="13">
        <v>45401</v>
      </c>
      <c r="F33">
        <v>800</v>
      </c>
    </row>
    <row r="34" spans="1:6" x14ac:dyDescent="0.25">
      <c r="A34" t="s">
        <v>81</v>
      </c>
      <c r="B34" t="s">
        <v>152</v>
      </c>
      <c r="C34" t="s">
        <v>116</v>
      </c>
      <c r="D34" t="s">
        <v>36</v>
      </c>
      <c r="E34" s="13">
        <v>45402</v>
      </c>
      <c r="F34">
        <v>950</v>
      </c>
    </row>
    <row r="35" spans="1:6" x14ac:dyDescent="0.25">
      <c r="A35" t="s">
        <v>82</v>
      </c>
      <c r="B35" t="s">
        <v>153</v>
      </c>
      <c r="C35" t="s">
        <v>117</v>
      </c>
      <c r="D35" t="s">
        <v>40</v>
      </c>
      <c r="E35" s="13">
        <v>45403</v>
      </c>
      <c r="F35">
        <v>450</v>
      </c>
    </row>
    <row r="36" spans="1:6" x14ac:dyDescent="0.25">
      <c r="A36" t="s">
        <v>83</v>
      </c>
      <c r="B36" t="s">
        <v>154</v>
      </c>
      <c r="C36" t="s">
        <v>118</v>
      </c>
      <c r="D36" t="s">
        <v>49</v>
      </c>
      <c r="E36" s="13">
        <v>45404</v>
      </c>
      <c r="F36">
        <v>150</v>
      </c>
    </row>
    <row r="37" spans="1:6" x14ac:dyDescent="0.25">
      <c r="A37" t="s">
        <v>84</v>
      </c>
      <c r="B37" t="s">
        <v>155</v>
      </c>
      <c r="C37" t="s">
        <v>115</v>
      </c>
      <c r="D37" t="s">
        <v>32</v>
      </c>
      <c r="E37" s="13">
        <v>45405</v>
      </c>
      <c r="F37">
        <v>1200</v>
      </c>
    </row>
    <row r="38" spans="1:6" x14ac:dyDescent="0.25">
      <c r="A38" t="s">
        <v>85</v>
      </c>
      <c r="B38" t="s">
        <v>156</v>
      </c>
      <c r="C38" t="s">
        <v>119</v>
      </c>
      <c r="D38" t="s">
        <v>47</v>
      </c>
      <c r="E38" s="13">
        <v>45406</v>
      </c>
      <c r="F38">
        <v>800</v>
      </c>
    </row>
    <row r="39" spans="1:6" x14ac:dyDescent="0.25">
      <c r="A39" t="s">
        <v>86</v>
      </c>
      <c r="B39" t="s">
        <v>157</v>
      </c>
      <c r="C39" t="s">
        <v>116</v>
      </c>
      <c r="D39" t="s">
        <v>36</v>
      </c>
      <c r="E39" s="13">
        <v>45407</v>
      </c>
      <c r="F39">
        <v>950</v>
      </c>
    </row>
    <row r="40" spans="1:6" x14ac:dyDescent="0.25">
      <c r="A40" t="s">
        <v>87</v>
      </c>
      <c r="B40" t="s">
        <v>158</v>
      </c>
      <c r="C40" t="s">
        <v>117</v>
      </c>
      <c r="D40" t="s">
        <v>40</v>
      </c>
      <c r="E40" s="13">
        <v>45408</v>
      </c>
      <c r="F40">
        <v>450</v>
      </c>
    </row>
    <row r="41" spans="1:6" x14ac:dyDescent="0.25">
      <c r="A41" t="s">
        <v>88</v>
      </c>
      <c r="B41" t="s">
        <v>159</v>
      </c>
      <c r="C41" t="s">
        <v>118</v>
      </c>
      <c r="D41" t="s">
        <v>49</v>
      </c>
      <c r="E41" s="13">
        <v>45409</v>
      </c>
      <c r="F41">
        <v>150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8B01B-DCB2-4C6B-9BF2-921B4AF6E0D1}">
  <sheetPr codeName="Sheet5"/>
  <dimension ref="A1:K41"/>
  <sheetViews>
    <sheetView workbookViewId="0">
      <selection activeCell="J4" sqref="J4"/>
    </sheetView>
  </sheetViews>
  <sheetFormatPr defaultRowHeight="15" x14ac:dyDescent="0.25"/>
  <cols>
    <col min="11" max="11" width="10.85546875" customWidth="1"/>
  </cols>
  <sheetData>
    <row r="1" spans="1:11" x14ac:dyDescent="0.25">
      <c r="A1" t="s">
        <v>24</v>
      </c>
      <c r="B1" t="s">
        <v>103</v>
      </c>
      <c r="C1" t="s">
        <v>112</v>
      </c>
      <c r="D1" t="s">
        <v>26</v>
      </c>
      <c r="E1" t="s">
        <v>113</v>
      </c>
      <c r="F1" t="s">
        <v>114</v>
      </c>
      <c r="I1" s="25" t="s">
        <v>103</v>
      </c>
      <c r="J1" s="25" t="s">
        <v>114</v>
      </c>
      <c r="K1" s="25" t="s">
        <v>91</v>
      </c>
    </row>
    <row r="2" spans="1:11" x14ac:dyDescent="0.25">
      <c r="A2" t="s">
        <v>31</v>
      </c>
      <c r="B2" t="s">
        <v>121</v>
      </c>
      <c r="C2" t="s">
        <v>115</v>
      </c>
      <c r="D2" t="s">
        <v>32</v>
      </c>
      <c r="E2" s="13">
        <v>45356</v>
      </c>
      <c r="F2">
        <v>1200</v>
      </c>
      <c r="I2" s="54" t="s">
        <v>130</v>
      </c>
      <c r="J2">
        <f>VLOOKUP(I2, B2:F41, 5, FALSE)</f>
        <v>1200</v>
      </c>
      <c r="K2" s="26" t="s">
        <v>160</v>
      </c>
    </row>
    <row r="3" spans="1:11" x14ac:dyDescent="0.25">
      <c r="A3" t="s">
        <v>35</v>
      </c>
      <c r="B3" t="s">
        <v>122</v>
      </c>
      <c r="C3" t="s">
        <v>119</v>
      </c>
      <c r="D3" t="s">
        <v>47</v>
      </c>
      <c r="E3" s="13">
        <v>45359</v>
      </c>
      <c r="F3">
        <v>800</v>
      </c>
      <c r="I3" s="54"/>
      <c r="J3" s="14" t="e">
        <f ca="1">XLOOKUP(I2, B:B, C:C)</f>
        <v>#NAME?</v>
      </c>
      <c r="K3" s="26" t="s">
        <v>161</v>
      </c>
    </row>
    <row r="4" spans="1:11" x14ac:dyDescent="0.25">
      <c r="A4" t="s">
        <v>39</v>
      </c>
      <c r="B4" t="s">
        <v>123</v>
      </c>
      <c r="C4" t="s">
        <v>116</v>
      </c>
      <c r="D4" t="s">
        <v>36</v>
      </c>
      <c r="E4" s="13">
        <v>45363</v>
      </c>
      <c r="F4">
        <v>950</v>
      </c>
    </row>
    <row r="5" spans="1:11" x14ac:dyDescent="0.25">
      <c r="A5" t="s">
        <v>43</v>
      </c>
      <c r="B5" t="s">
        <v>124</v>
      </c>
      <c r="C5" t="s">
        <v>117</v>
      </c>
      <c r="D5" t="s">
        <v>40</v>
      </c>
      <c r="E5" s="13">
        <v>45366</v>
      </c>
      <c r="F5">
        <v>450</v>
      </c>
    </row>
    <row r="6" spans="1:11" x14ac:dyDescent="0.25">
      <c r="A6" t="s">
        <v>46</v>
      </c>
      <c r="B6" t="s">
        <v>120</v>
      </c>
      <c r="C6" t="s">
        <v>118</v>
      </c>
      <c r="D6" t="s">
        <v>49</v>
      </c>
      <c r="E6" s="13">
        <v>45369</v>
      </c>
      <c r="F6">
        <v>150</v>
      </c>
    </row>
    <row r="7" spans="1:11" x14ac:dyDescent="0.25">
      <c r="A7" t="s">
        <v>48</v>
      </c>
      <c r="B7" t="s">
        <v>125</v>
      </c>
      <c r="C7" t="s">
        <v>115</v>
      </c>
      <c r="D7" t="s">
        <v>32</v>
      </c>
      <c r="E7" s="13">
        <v>45371</v>
      </c>
      <c r="F7">
        <v>1200</v>
      </c>
    </row>
    <row r="8" spans="1:11" x14ac:dyDescent="0.25">
      <c r="A8" t="s">
        <v>50</v>
      </c>
      <c r="B8" t="s">
        <v>126</v>
      </c>
      <c r="C8" t="s">
        <v>119</v>
      </c>
      <c r="D8" t="s">
        <v>47</v>
      </c>
      <c r="E8" s="13">
        <v>45373</v>
      </c>
      <c r="F8">
        <v>800</v>
      </c>
    </row>
    <row r="9" spans="1:11" x14ac:dyDescent="0.25">
      <c r="A9" t="s">
        <v>52</v>
      </c>
      <c r="B9" t="s">
        <v>127</v>
      </c>
      <c r="C9" t="s">
        <v>116</v>
      </c>
      <c r="D9" t="s">
        <v>36</v>
      </c>
      <c r="E9" s="13">
        <v>45375</v>
      </c>
      <c r="F9">
        <v>950</v>
      </c>
    </row>
    <row r="10" spans="1:11" x14ac:dyDescent="0.25">
      <c r="A10" t="s">
        <v>53</v>
      </c>
      <c r="B10" t="s">
        <v>128</v>
      </c>
      <c r="C10" t="s">
        <v>117</v>
      </c>
      <c r="D10" t="s">
        <v>40</v>
      </c>
      <c r="E10" s="13">
        <v>45376</v>
      </c>
      <c r="F10">
        <v>450</v>
      </c>
    </row>
    <row r="11" spans="1:11" x14ac:dyDescent="0.25">
      <c r="A11" t="s">
        <v>54</v>
      </c>
      <c r="B11" t="s">
        <v>129</v>
      </c>
      <c r="C11" t="s">
        <v>118</v>
      </c>
      <c r="D11" t="s">
        <v>49</v>
      </c>
      <c r="E11" s="13">
        <v>45378</v>
      </c>
      <c r="F11">
        <v>150</v>
      </c>
    </row>
    <row r="12" spans="1:11" x14ac:dyDescent="0.25">
      <c r="A12" t="s">
        <v>56</v>
      </c>
      <c r="B12" t="s">
        <v>130</v>
      </c>
      <c r="C12" t="s">
        <v>115</v>
      </c>
      <c r="D12" t="s">
        <v>32</v>
      </c>
      <c r="E12" s="13">
        <v>45379</v>
      </c>
      <c r="F12">
        <v>1200</v>
      </c>
    </row>
    <row r="13" spans="1:11" x14ac:dyDescent="0.25">
      <c r="A13" t="s">
        <v>58</v>
      </c>
      <c r="B13" t="s">
        <v>131</v>
      </c>
      <c r="C13" t="s">
        <v>119</v>
      </c>
      <c r="D13" t="s">
        <v>47</v>
      </c>
      <c r="E13" s="13">
        <v>45380</v>
      </c>
      <c r="F13">
        <v>800</v>
      </c>
    </row>
    <row r="14" spans="1:11" x14ac:dyDescent="0.25">
      <c r="A14" t="s">
        <v>59</v>
      </c>
      <c r="B14" t="s">
        <v>132</v>
      </c>
      <c r="C14" t="s">
        <v>116</v>
      </c>
      <c r="D14" t="s">
        <v>36</v>
      </c>
      <c r="E14" s="13">
        <v>45381</v>
      </c>
      <c r="F14">
        <v>950</v>
      </c>
    </row>
    <row r="15" spans="1:11" x14ac:dyDescent="0.25">
      <c r="A15" t="s">
        <v>61</v>
      </c>
      <c r="B15" t="s">
        <v>133</v>
      </c>
      <c r="C15" t="s">
        <v>117</v>
      </c>
      <c r="D15" t="s">
        <v>40</v>
      </c>
      <c r="E15" s="13">
        <v>45383</v>
      </c>
      <c r="F15">
        <v>450</v>
      </c>
    </row>
    <row r="16" spans="1:11" x14ac:dyDescent="0.25">
      <c r="A16" t="s">
        <v>63</v>
      </c>
      <c r="B16" t="s">
        <v>134</v>
      </c>
      <c r="C16" t="s">
        <v>118</v>
      </c>
      <c r="D16" t="s">
        <v>49</v>
      </c>
      <c r="E16" s="13">
        <v>45384</v>
      </c>
      <c r="F16">
        <v>150</v>
      </c>
    </row>
    <row r="17" spans="1:6" x14ac:dyDescent="0.25">
      <c r="A17" t="s">
        <v>64</v>
      </c>
      <c r="B17" t="s">
        <v>135</v>
      </c>
      <c r="C17" t="s">
        <v>115</v>
      </c>
      <c r="D17" t="s">
        <v>32</v>
      </c>
      <c r="E17" s="13">
        <v>45385</v>
      </c>
      <c r="F17">
        <v>1200</v>
      </c>
    </row>
    <row r="18" spans="1:6" x14ac:dyDescent="0.25">
      <c r="A18" t="s">
        <v>65</v>
      </c>
      <c r="B18" t="s">
        <v>136</v>
      </c>
      <c r="C18" t="s">
        <v>119</v>
      </c>
      <c r="D18" t="s">
        <v>47</v>
      </c>
      <c r="E18" s="13">
        <v>45386</v>
      </c>
      <c r="F18">
        <v>800</v>
      </c>
    </row>
    <row r="19" spans="1:6" x14ac:dyDescent="0.25">
      <c r="A19" t="s">
        <v>66</v>
      </c>
      <c r="B19" t="s">
        <v>137</v>
      </c>
      <c r="C19" t="s">
        <v>116</v>
      </c>
      <c r="D19" t="s">
        <v>36</v>
      </c>
      <c r="E19" s="13">
        <v>45387</v>
      </c>
      <c r="F19">
        <v>950</v>
      </c>
    </row>
    <row r="20" spans="1:6" x14ac:dyDescent="0.25">
      <c r="A20" t="s">
        <v>67</v>
      </c>
      <c r="B20" t="s">
        <v>138</v>
      </c>
      <c r="C20" t="s">
        <v>117</v>
      </c>
      <c r="D20" t="s">
        <v>40</v>
      </c>
      <c r="E20" s="13">
        <v>45388</v>
      </c>
      <c r="F20">
        <v>450</v>
      </c>
    </row>
    <row r="21" spans="1:6" x14ac:dyDescent="0.25">
      <c r="A21" t="s">
        <v>68</v>
      </c>
      <c r="B21" t="s">
        <v>139</v>
      </c>
      <c r="C21" t="s">
        <v>118</v>
      </c>
      <c r="D21" t="s">
        <v>49</v>
      </c>
      <c r="E21" s="13">
        <v>45389</v>
      </c>
      <c r="F21">
        <v>150</v>
      </c>
    </row>
    <row r="22" spans="1:6" x14ac:dyDescent="0.25">
      <c r="A22" t="s">
        <v>69</v>
      </c>
      <c r="B22" t="s">
        <v>140</v>
      </c>
      <c r="C22" t="s">
        <v>115</v>
      </c>
      <c r="D22" t="s">
        <v>32</v>
      </c>
      <c r="E22" s="13">
        <v>45390</v>
      </c>
      <c r="F22">
        <v>1200</v>
      </c>
    </row>
    <row r="23" spans="1:6" x14ac:dyDescent="0.25">
      <c r="A23" t="s">
        <v>70</v>
      </c>
      <c r="B23" t="s">
        <v>141</v>
      </c>
      <c r="C23" t="s">
        <v>119</v>
      </c>
      <c r="D23" t="s">
        <v>47</v>
      </c>
      <c r="E23" s="13">
        <v>45391</v>
      </c>
      <c r="F23">
        <v>800</v>
      </c>
    </row>
    <row r="24" spans="1:6" x14ac:dyDescent="0.25">
      <c r="A24" t="s">
        <v>71</v>
      </c>
      <c r="B24" t="s">
        <v>142</v>
      </c>
      <c r="C24" t="s">
        <v>116</v>
      </c>
      <c r="D24" t="s">
        <v>36</v>
      </c>
      <c r="E24" s="13">
        <v>45392</v>
      </c>
      <c r="F24">
        <v>950</v>
      </c>
    </row>
    <row r="25" spans="1:6" x14ac:dyDescent="0.25">
      <c r="A25" t="s">
        <v>72</v>
      </c>
      <c r="B25" t="s">
        <v>143</v>
      </c>
      <c r="C25" t="s">
        <v>117</v>
      </c>
      <c r="D25" t="s">
        <v>40</v>
      </c>
      <c r="E25" s="13">
        <v>45393</v>
      </c>
      <c r="F25">
        <v>450</v>
      </c>
    </row>
    <row r="26" spans="1:6" x14ac:dyDescent="0.25">
      <c r="A26" t="s">
        <v>73</v>
      </c>
      <c r="B26" t="s">
        <v>144</v>
      </c>
      <c r="C26" t="s">
        <v>118</v>
      </c>
      <c r="D26" t="s">
        <v>49</v>
      </c>
      <c r="E26" s="13">
        <v>45394</v>
      </c>
      <c r="F26">
        <v>150</v>
      </c>
    </row>
    <row r="27" spans="1:6" x14ac:dyDescent="0.25">
      <c r="A27" t="s">
        <v>74</v>
      </c>
      <c r="B27" t="s">
        <v>145</v>
      </c>
      <c r="C27" t="s">
        <v>115</v>
      </c>
      <c r="D27" t="s">
        <v>32</v>
      </c>
      <c r="E27" s="13">
        <v>45395</v>
      </c>
      <c r="F27">
        <v>1200</v>
      </c>
    </row>
    <row r="28" spans="1:6" x14ac:dyDescent="0.25">
      <c r="A28" t="s">
        <v>75</v>
      </c>
      <c r="B28" t="s">
        <v>146</v>
      </c>
      <c r="C28" t="s">
        <v>119</v>
      </c>
      <c r="D28" t="s">
        <v>47</v>
      </c>
      <c r="E28" s="13">
        <v>45396</v>
      </c>
      <c r="F28">
        <v>800</v>
      </c>
    </row>
    <row r="29" spans="1:6" x14ac:dyDescent="0.25">
      <c r="A29" t="s">
        <v>76</v>
      </c>
      <c r="B29" t="s">
        <v>147</v>
      </c>
      <c r="C29" t="s">
        <v>116</v>
      </c>
      <c r="D29" t="s">
        <v>36</v>
      </c>
      <c r="E29" s="13">
        <v>45397</v>
      </c>
      <c r="F29">
        <v>950</v>
      </c>
    </row>
    <row r="30" spans="1:6" x14ac:dyDescent="0.25">
      <c r="A30" t="s">
        <v>77</v>
      </c>
      <c r="B30" t="s">
        <v>148</v>
      </c>
      <c r="C30" t="s">
        <v>117</v>
      </c>
      <c r="D30" t="s">
        <v>40</v>
      </c>
      <c r="E30" s="13">
        <v>45398</v>
      </c>
      <c r="F30">
        <v>450</v>
      </c>
    </row>
    <row r="31" spans="1:6" x14ac:dyDescent="0.25">
      <c r="A31" t="s">
        <v>78</v>
      </c>
      <c r="B31" t="s">
        <v>149</v>
      </c>
      <c r="C31" t="s">
        <v>118</v>
      </c>
      <c r="D31" t="s">
        <v>49</v>
      </c>
      <c r="E31" s="13">
        <v>45399</v>
      </c>
      <c r="F31">
        <v>150</v>
      </c>
    </row>
    <row r="32" spans="1:6" x14ac:dyDescent="0.25">
      <c r="A32" t="s">
        <v>79</v>
      </c>
      <c r="B32" t="s">
        <v>150</v>
      </c>
      <c r="C32" t="s">
        <v>115</v>
      </c>
      <c r="D32" t="s">
        <v>32</v>
      </c>
      <c r="E32" s="13">
        <v>45400</v>
      </c>
      <c r="F32">
        <v>1200</v>
      </c>
    </row>
    <row r="33" spans="1:6" x14ac:dyDescent="0.25">
      <c r="A33" t="s">
        <v>80</v>
      </c>
      <c r="B33" t="s">
        <v>151</v>
      </c>
      <c r="C33" t="s">
        <v>119</v>
      </c>
      <c r="D33" t="s">
        <v>47</v>
      </c>
      <c r="E33" s="13">
        <v>45401</v>
      </c>
      <c r="F33">
        <v>800</v>
      </c>
    </row>
    <row r="34" spans="1:6" x14ac:dyDescent="0.25">
      <c r="A34" t="s">
        <v>81</v>
      </c>
      <c r="B34" t="s">
        <v>152</v>
      </c>
      <c r="C34" t="s">
        <v>116</v>
      </c>
      <c r="D34" t="s">
        <v>36</v>
      </c>
      <c r="E34" s="13">
        <v>45402</v>
      </c>
      <c r="F34">
        <v>950</v>
      </c>
    </row>
    <row r="35" spans="1:6" x14ac:dyDescent="0.25">
      <c r="A35" t="s">
        <v>82</v>
      </c>
      <c r="B35" t="s">
        <v>153</v>
      </c>
      <c r="C35" t="s">
        <v>117</v>
      </c>
      <c r="D35" t="s">
        <v>40</v>
      </c>
      <c r="E35" s="13">
        <v>45403</v>
      </c>
      <c r="F35">
        <v>450</v>
      </c>
    </row>
    <row r="36" spans="1:6" x14ac:dyDescent="0.25">
      <c r="A36" t="s">
        <v>83</v>
      </c>
      <c r="B36" t="s">
        <v>154</v>
      </c>
      <c r="C36" t="s">
        <v>118</v>
      </c>
      <c r="D36" t="s">
        <v>49</v>
      </c>
      <c r="E36" s="13">
        <v>45404</v>
      </c>
      <c r="F36">
        <v>150</v>
      </c>
    </row>
    <row r="37" spans="1:6" x14ac:dyDescent="0.25">
      <c r="A37" t="s">
        <v>84</v>
      </c>
      <c r="B37" t="s">
        <v>155</v>
      </c>
      <c r="C37" t="s">
        <v>115</v>
      </c>
      <c r="D37" t="s">
        <v>32</v>
      </c>
      <c r="E37" s="13">
        <v>45405</v>
      </c>
      <c r="F37">
        <v>1200</v>
      </c>
    </row>
    <row r="38" spans="1:6" x14ac:dyDescent="0.25">
      <c r="A38" t="s">
        <v>85</v>
      </c>
      <c r="B38" t="s">
        <v>156</v>
      </c>
      <c r="C38" t="s">
        <v>119</v>
      </c>
      <c r="D38" t="s">
        <v>47</v>
      </c>
      <c r="E38" s="13">
        <v>45406</v>
      </c>
      <c r="F38">
        <v>800</v>
      </c>
    </row>
    <row r="39" spans="1:6" x14ac:dyDescent="0.25">
      <c r="A39" t="s">
        <v>86</v>
      </c>
      <c r="B39" t="s">
        <v>157</v>
      </c>
      <c r="C39" t="s">
        <v>116</v>
      </c>
      <c r="D39" t="s">
        <v>36</v>
      </c>
      <c r="E39" s="13">
        <v>45407</v>
      </c>
      <c r="F39">
        <v>950</v>
      </c>
    </row>
    <row r="40" spans="1:6" x14ac:dyDescent="0.25">
      <c r="A40" t="s">
        <v>87</v>
      </c>
      <c r="B40" t="s">
        <v>158</v>
      </c>
      <c r="C40" t="s">
        <v>117</v>
      </c>
      <c r="D40" t="s">
        <v>40</v>
      </c>
      <c r="E40" s="13">
        <v>45408</v>
      </c>
      <c r="F40">
        <v>450</v>
      </c>
    </row>
    <row r="41" spans="1:6" x14ac:dyDescent="0.25">
      <c r="A41" t="s">
        <v>88</v>
      </c>
      <c r="B41" t="s">
        <v>159</v>
      </c>
      <c r="C41" t="s">
        <v>118</v>
      </c>
      <c r="D41" t="s">
        <v>49</v>
      </c>
      <c r="E41" s="13">
        <v>45409</v>
      </c>
      <c r="F41">
        <v>150</v>
      </c>
    </row>
  </sheetData>
  <mergeCells count="1">
    <mergeCell ref="I2:I3"/>
  </mergeCells>
  <conditionalFormatting sqref="I2:I3">
    <cfRule type="containsText" dxfId="5" priority="1" operator="containsText" text="Kate">
      <formula>NOT(ISERROR(SEARCH("Kate",I2)))</formula>
    </cfRule>
  </conditionalFormatting>
  <conditionalFormatting sqref="K2:K3">
    <cfRule type="containsText" dxfId="4" priority="3" operator="containsText" text="VLOOKUP">
      <formula>NOT(ISERROR(SEARCH("VLOOKUP",K2)))</formula>
    </cfRule>
  </conditionalFormatting>
  <conditionalFormatting sqref="K3">
    <cfRule type="containsText" dxfId="3" priority="2" operator="containsText" text="XLOOKUP">
      <formula>NOT(ISERROR(SEARCH("XLOOKUP",K3)))</formula>
    </cfRule>
  </conditionalFormatting>
  <dataValidations count="1">
    <dataValidation type="list" allowBlank="1" showInputMessage="1" showErrorMessage="1" errorTitle="Enter Name" error="May be you have entered number" promptTitle="What is your name?" prompt="Name please" sqref="I2" xr:uid="{1AB37754-2C6C-4FD4-8F2D-786EFFEFD24E}">
      <formula1>$B$2:$B$41</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01021-C9D6-45B0-B6C8-7EC005C28EA0}">
  <sheetPr codeName="Sheet51"/>
  <dimension ref="A1:D3"/>
  <sheetViews>
    <sheetView tabSelected="1" workbookViewId="0">
      <selection activeCell="H5" sqref="H5"/>
    </sheetView>
  </sheetViews>
  <sheetFormatPr defaultRowHeight="15" x14ac:dyDescent="0.25"/>
  <cols>
    <col min="1" max="1" width="6.28515625" style="14" bestFit="1" customWidth="1"/>
    <col min="2" max="2" width="12" style="14" bestFit="1" customWidth="1"/>
    <col min="3" max="3" width="11" style="14" bestFit="1" customWidth="1"/>
    <col min="4" max="4" width="9.140625" style="14"/>
  </cols>
  <sheetData>
    <row r="1" spans="1:4" x14ac:dyDescent="0.25">
      <c r="A1" s="14" t="s">
        <v>103</v>
      </c>
      <c r="B1" s="14" t="s">
        <v>104</v>
      </c>
      <c r="C1" s="14" t="s">
        <v>108</v>
      </c>
      <c r="D1" s="14" t="s">
        <v>105</v>
      </c>
    </row>
    <row r="2" spans="1:4" x14ac:dyDescent="0.25">
      <c r="A2" s="14" t="s">
        <v>106</v>
      </c>
      <c r="B2" s="14" t="s">
        <v>107</v>
      </c>
      <c r="C2" s="14">
        <v>1725651856</v>
      </c>
      <c r="D2" s="14">
        <v>25</v>
      </c>
    </row>
    <row r="3" spans="1:4" x14ac:dyDescent="0.25">
      <c r="A3" s="14" t="s">
        <v>109</v>
      </c>
      <c r="B3" s="14" t="s">
        <v>110</v>
      </c>
      <c r="C3" s="14">
        <v>1537075349</v>
      </c>
      <c r="D3" s="14">
        <v>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nter_Blood_Group_Data">
                <anchor moveWithCells="1" sizeWithCells="1">
                  <from>
                    <xdr:col>4</xdr:col>
                    <xdr:colOff>600075</xdr:colOff>
                    <xdr:row>0</xdr:row>
                    <xdr:rowOff>0</xdr:rowOff>
                  </from>
                  <to>
                    <xdr:col>9</xdr:col>
                    <xdr:colOff>0</xdr:colOff>
                    <xdr:row>4</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8BBED-7632-4967-989E-01BF9B66564E}">
  <sheetPr codeName="Sheet21"/>
  <dimension ref="A1:D25"/>
  <sheetViews>
    <sheetView workbookViewId="0"/>
  </sheetViews>
  <sheetFormatPr defaultRowHeight="15" x14ac:dyDescent="0.25"/>
  <cols>
    <col min="1" max="1" width="16" bestFit="1" customWidth="1"/>
    <col min="2" max="2" width="13.7109375" bestFit="1" customWidth="1"/>
    <col min="3" max="3" width="15.5703125" bestFit="1" customWidth="1"/>
    <col min="4" max="4" width="12.28515625" bestFit="1" customWidth="1"/>
  </cols>
  <sheetData>
    <row r="1" spans="1:4" x14ac:dyDescent="0.25">
      <c r="A1" s="10" t="s">
        <v>19</v>
      </c>
      <c r="B1" t="s">
        <v>21</v>
      </c>
      <c r="C1" t="s">
        <v>22</v>
      </c>
      <c r="D1" t="s">
        <v>23</v>
      </c>
    </row>
    <row r="2" spans="1:4" x14ac:dyDescent="0.25">
      <c r="A2" s="11">
        <v>2017</v>
      </c>
      <c r="B2">
        <v>4</v>
      </c>
      <c r="C2">
        <v>10</v>
      </c>
      <c r="D2">
        <v>700000</v>
      </c>
    </row>
    <row r="3" spans="1:4" x14ac:dyDescent="0.25">
      <c r="A3" s="12" t="s">
        <v>7</v>
      </c>
      <c r="B3">
        <v>1</v>
      </c>
      <c r="C3">
        <v>1</v>
      </c>
      <c r="D3">
        <v>80000</v>
      </c>
    </row>
    <row r="4" spans="1:4" x14ac:dyDescent="0.25">
      <c r="A4" s="12" t="s">
        <v>18</v>
      </c>
      <c r="B4">
        <v>2</v>
      </c>
      <c r="C4">
        <v>8</v>
      </c>
      <c r="D4">
        <v>500000</v>
      </c>
    </row>
    <row r="5" spans="1:4" x14ac:dyDescent="0.25">
      <c r="A5" s="12" t="s">
        <v>17</v>
      </c>
      <c r="B5">
        <v>1</v>
      </c>
      <c r="C5">
        <v>1</v>
      </c>
      <c r="D5">
        <v>120000</v>
      </c>
    </row>
    <row r="6" spans="1:4" x14ac:dyDescent="0.25">
      <c r="A6" s="11">
        <v>2018</v>
      </c>
      <c r="B6">
        <v>4</v>
      </c>
      <c r="C6">
        <v>15</v>
      </c>
      <c r="D6">
        <v>760000</v>
      </c>
    </row>
    <row r="7" spans="1:4" x14ac:dyDescent="0.25">
      <c r="A7" s="12" t="s">
        <v>11</v>
      </c>
      <c r="B7">
        <v>1</v>
      </c>
      <c r="C7">
        <v>2</v>
      </c>
      <c r="D7">
        <v>150000</v>
      </c>
    </row>
    <row r="8" spans="1:4" x14ac:dyDescent="0.25">
      <c r="A8" s="12" t="s">
        <v>13</v>
      </c>
      <c r="B8">
        <v>1</v>
      </c>
      <c r="C8">
        <v>4</v>
      </c>
      <c r="D8">
        <v>350000</v>
      </c>
    </row>
    <row r="9" spans="1:4" x14ac:dyDescent="0.25">
      <c r="A9" s="12" t="s">
        <v>7</v>
      </c>
      <c r="B9">
        <v>1</v>
      </c>
      <c r="C9">
        <v>5</v>
      </c>
      <c r="D9">
        <v>40000</v>
      </c>
    </row>
    <row r="10" spans="1:4" x14ac:dyDescent="0.25">
      <c r="A10" s="12" t="s">
        <v>9</v>
      </c>
      <c r="B10">
        <v>1</v>
      </c>
      <c r="C10">
        <v>4</v>
      </c>
      <c r="D10">
        <v>220000</v>
      </c>
    </row>
    <row r="11" spans="1:4" x14ac:dyDescent="0.25">
      <c r="A11" s="11">
        <v>2019</v>
      </c>
      <c r="B11">
        <v>4</v>
      </c>
      <c r="C11">
        <v>18</v>
      </c>
      <c r="D11">
        <v>275000</v>
      </c>
    </row>
    <row r="12" spans="1:4" x14ac:dyDescent="0.25">
      <c r="A12" s="12" t="s">
        <v>11</v>
      </c>
      <c r="B12">
        <v>1</v>
      </c>
      <c r="C12">
        <v>7</v>
      </c>
      <c r="D12">
        <v>120000</v>
      </c>
    </row>
    <row r="13" spans="1:4" x14ac:dyDescent="0.25">
      <c r="A13" s="12" t="s">
        <v>13</v>
      </c>
      <c r="B13">
        <v>1</v>
      </c>
      <c r="C13">
        <v>3</v>
      </c>
      <c r="D13">
        <v>35000</v>
      </c>
    </row>
    <row r="14" spans="1:4" x14ac:dyDescent="0.25">
      <c r="A14" s="12" t="s">
        <v>7</v>
      </c>
      <c r="B14">
        <v>1</v>
      </c>
      <c r="C14">
        <v>5</v>
      </c>
      <c r="D14">
        <v>85000</v>
      </c>
    </row>
    <row r="15" spans="1:4" x14ac:dyDescent="0.25">
      <c r="A15" s="12" t="s">
        <v>5</v>
      </c>
      <c r="B15">
        <v>1</v>
      </c>
      <c r="C15">
        <v>3</v>
      </c>
      <c r="D15">
        <v>35000</v>
      </c>
    </row>
    <row r="16" spans="1:4" x14ac:dyDescent="0.25">
      <c r="A16" s="11">
        <v>2020</v>
      </c>
      <c r="B16">
        <v>4</v>
      </c>
      <c r="C16">
        <v>17</v>
      </c>
      <c r="D16">
        <v>785000</v>
      </c>
    </row>
    <row r="17" spans="1:4" x14ac:dyDescent="0.25">
      <c r="A17" s="12" t="s">
        <v>11</v>
      </c>
      <c r="B17">
        <v>1</v>
      </c>
      <c r="C17">
        <v>4</v>
      </c>
      <c r="D17">
        <v>85000</v>
      </c>
    </row>
    <row r="18" spans="1:4" x14ac:dyDescent="0.25">
      <c r="A18" s="12" t="s">
        <v>15</v>
      </c>
      <c r="B18">
        <v>2</v>
      </c>
      <c r="C18">
        <v>7</v>
      </c>
      <c r="D18">
        <v>550000</v>
      </c>
    </row>
    <row r="19" spans="1:4" x14ac:dyDescent="0.25">
      <c r="A19" s="12" t="s">
        <v>9</v>
      </c>
      <c r="B19">
        <v>1</v>
      </c>
      <c r="C19">
        <v>6</v>
      </c>
      <c r="D19">
        <v>150000</v>
      </c>
    </row>
    <row r="20" spans="1:4" x14ac:dyDescent="0.25">
      <c r="A20" s="11">
        <v>2021</v>
      </c>
      <c r="B20">
        <v>4</v>
      </c>
      <c r="C20">
        <v>13</v>
      </c>
      <c r="D20">
        <v>695000</v>
      </c>
    </row>
    <row r="21" spans="1:4" x14ac:dyDescent="0.25">
      <c r="A21" s="12" t="s">
        <v>15</v>
      </c>
      <c r="B21">
        <v>1</v>
      </c>
      <c r="C21">
        <v>5</v>
      </c>
      <c r="D21">
        <v>125000</v>
      </c>
    </row>
    <row r="22" spans="1:4" x14ac:dyDescent="0.25">
      <c r="A22" s="12" t="s">
        <v>13</v>
      </c>
      <c r="B22">
        <v>1</v>
      </c>
      <c r="C22">
        <v>2</v>
      </c>
      <c r="D22">
        <v>50000</v>
      </c>
    </row>
    <row r="23" spans="1:4" x14ac:dyDescent="0.25">
      <c r="A23" s="12" t="s">
        <v>18</v>
      </c>
      <c r="B23">
        <v>1</v>
      </c>
      <c r="C23">
        <v>2</v>
      </c>
      <c r="D23">
        <v>350000</v>
      </c>
    </row>
    <row r="24" spans="1:4" x14ac:dyDescent="0.25">
      <c r="A24" s="12" t="s">
        <v>17</v>
      </c>
      <c r="B24">
        <v>1</v>
      </c>
      <c r="C24">
        <v>4</v>
      </c>
      <c r="D24">
        <v>170000</v>
      </c>
    </row>
    <row r="25" spans="1:4" x14ac:dyDescent="0.25">
      <c r="A25" s="11" t="s">
        <v>20</v>
      </c>
      <c r="B25">
        <v>20</v>
      </c>
      <c r="C25">
        <v>73</v>
      </c>
      <c r="D25">
        <v>3215000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1BB9C-846D-4874-ACEC-81F8BDCFFA3C}">
  <sheetPr codeName="Sheet31"/>
  <dimension ref="A1"/>
  <sheetViews>
    <sheetView workbookViewId="0">
      <selection activeCell="Q24" sqref="Q24"/>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392F4-D369-4FBF-A7C7-F01FFBAFA1BC}">
  <sheetPr codeName="Sheet6"/>
  <dimension ref="A1:B16"/>
  <sheetViews>
    <sheetView workbookViewId="0">
      <selection activeCell="E8" sqref="E8"/>
    </sheetView>
  </sheetViews>
  <sheetFormatPr defaultRowHeight="15" x14ac:dyDescent="0.25"/>
  <cols>
    <col min="1" max="1" width="20" style="30" customWidth="1"/>
    <col min="2" max="2" width="55.28515625" style="32" customWidth="1"/>
    <col min="3" max="16384" width="9.140625" style="29"/>
  </cols>
  <sheetData>
    <row r="1" spans="1:2" x14ac:dyDescent="0.25">
      <c r="A1" s="27" t="s">
        <v>162</v>
      </c>
      <c r="B1" s="28" t="s">
        <v>178</v>
      </c>
    </row>
    <row r="2" spans="1:2" x14ac:dyDescent="0.25">
      <c r="A2" s="30" t="s">
        <v>163</v>
      </c>
      <c r="B2" s="31">
        <v>0.82</v>
      </c>
    </row>
    <row r="3" spans="1:2" x14ac:dyDescent="0.25">
      <c r="A3" s="30" t="s">
        <v>164</v>
      </c>
      <c r="B3" s="31">
        <v>0.65</v>
      </c>
    </row>
    <row r="4" spans="1:2" x14ac:dyDescent="0.25">
      <c r="A4" s="30" t="s">
        <v>165</v>
      </c>
      <c r="B4" s="31">
        <v>0.9</v>
      </c>
    </row>
    <row r="5" spans="1:2" x14ac:dyDescent="0.25">
      <c r="A5" s="30" t="s">
        <v>166</v>
      </c>
      <c r="B5" s="31">
        <v>0.76</v>
      </c>
    </row>
    <row r="6" spans="1:2" x14ac:dyDescent="0.25">
      <c r="A6" s="30" t="s">
        <v>167</v>
      </c>
      <c r="B6" s="31">
        <v>0.54</v>
      </c>
    </row>
    <row r="7" spans="1:2" x14ac:dyDescent="0.25">
      <c r="A7" s="30" t="s">
        <v>168</v>
      </c>
      <c r="B7" s="31">
        <v>0.88</v>
      </c>
    </row>
    <row r="8" spans="1:2" x14ac:dyDescent="0.25">
      <c r="A8" s="30" t="s">
        <v>169</v>
      </c>
      <c r="B8" s="31">
        <v>0.43</v>
      </c>
    </row>
    <row r="9" spans="1:2" x14ac:dyDescent="0.25">
      <c r="A9" s="30" t="s">
        <v>170</v>
      </c>
      <c r="B9" s="31">
        <v>0.97</v>
      </c>
    </row>
    <row r="10" spans="1:2" x14ac:dyDescent="0.25">
      <c r="A10" s="30" t="s">
        <v>171</v>
      </c>
      <c r="B10" s="31">
        <v>0.6</v>
      </c>
    </row>
    <row r="11" spans="1:2" x14ac:dyDescent="0.25">
      <c r="A11" s="30" t="s">
        <v>172</v>
      </c>
      <c r="B11" s="31">
        <v>0.71</v>
      </c>
    </row>
    <row r="12" spans="1:2" x14ac:dyDescent="0.25">
      <c r="A12" s="30" t="s">
        <v>173</v>
      </c>
      <c r="B12" s="31">
        <v>0.35</v>
      </c>
    </row>
    <row r="13" spans="1:2" x14ac:dyDescent="0.25">
      <c r="A13" s="30" t="s">
        <v>174</v>
      </c>
      <c r="B13" s="31">
        <v>0.92</v>
      </c>
    </row>
    <row r="14" spans="1:2" x14ac:dyDescent="0.25">
      <c r="A14" s="30" t="s">
        <v>175</v>
      </c>
      <c r="B14" s="31">
        <v>0.68</v>
      </c>
    </row>
    <row r="15" spans="1:2" x14ac:dyDescent="0.25">
      <c r="A15" s="30" t="s">
        <v>176</v>
      </c>
      <c r="B15" s="31">
        <v>0.8</v>
      </c>
    </row>
    <row r="16" spans="1:2" x14ac:dyDescent="0.25">
      <c r="A16" s="30" t="s">
        <v>177</v>
      </c>
      <c r="B16" s="31">
        <v>0.59</v>
      </c>
    </row>
  </sheetData>
  <conditionalFormatting sqref="B1">
    <cfRule type="dataBar" priority="2">
      <dataBar>
        <cfvo type="num" val="0"/>
        <cfvo type="num" val="1"/>
        <color rgb="FF638EC6"/>
      </dataBar>
      <extLst>
        <ext xmlns:x14="http://schemas.microsoft.com/office/spreadsheetml/2009/9/main" uri="{B025F937-C7B1-47D3-B67F-A62EFF666E3E}">
          <x14:id>{F69C6B67-8A6B-4E0F-9B34-7377742D9806}</x14:id>
        </ext>
      </extLst>
    </cfRule>
  </conditionalFormatting>
  <conditionalFormatting sqref="B1:B1048576">
    <cfRule type="dataBar" priority="1">
      <dataBar>
        <cfvo type="num" val="0"/>
        <cfvo type="num" val="1"/>
        <color rgb="FF638EC6"/>
      </dataBar>
      <extLst>
        <ext xmlns:x14="http://schemas.microsoft.com/office/spreadsheetml/2009/9/main" uri="{B025F937-C7B1-47D3-B67F-A62EFF666E3E}">
          <x14:id>{9736CA0E-51E8-4CA9-95DC-5951F602C389}</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F69C6B67-8A6B-4E0F-9B34-7377742D9806}">
            <x14:dataBar minLength="0" maxLength="100" gradient="0">
              <x14:cfvo type="num">
                <xm:f>0</xm:f>
              </x14:cfvo>
              <x14:cfvo type="num">
                <xm:f>1</xm:f>
              </x14:cfvo>
              <x14:negativeFillColor rgb="FFFF0000"/>
              <x14:axisColor rgb="FF000000"/>
            </x14:dataBar>
          </x14:cfRule>
          <xm:sqref>B1</xm:sqref>
        </x14:conditionalFormatting>
        <x14:conditionalFormatting xmlns:xm="http://schemas.microsoft.com/office/excel/2006/main">
          <x14:cfRule type="dataBar" id="{9736CA0E-51E8-4CA9-95DC-5951F602C389}">
            <x14:dataBar minLength="0" maxLength="100" gradient="0">
              <x14:cfvo type="num">
                <xm:f>0</xm:f>
              </x14:cfvo>
              <x14:cfvo type="num">
                <xm:f>1</xm:f>
              </x14:cfvo>
              <x14:negativeFillColor rgb="FFFF0000"/>
              <x14:axisColor rgb="FF000000"/>
            </x14:dataBar>
          </x14:cfRule>
          <xm:sqref>B1:B1048576</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26DBA-6023-4C55-9279-8951FBB3267D}">
  <sheetPr codeName="Sheet11"/>
  <dimension ref="A1:E21"/>
  <sheetViews>
    <sheetView workbookViewId="0">
      <selection activeCell="I31" sqref="I31"/>
    </sheetView>
  </sheetViews>
  <sheetFormatPr defaultRowHeight="15" x14ac:dyDescent="0.25"/>
  <sheetData>
    <row r="1" spans="1:5" x14ac:dyDescent="0.25">
      <c r="A1" s="1" t="s">
        <v>0</v>
      </c>
      <c r="B1" s="2" t="s">
        <v>1</v>
      </c>
      <c r="C1" s="2" t="s">
        <v>2</v>
      </c>
      <c r="D1" s="2" t="s">
        <v>3</v>
      </c>
      <c r="E1" s="3" t="s">
        <v>4</v>
      </c>
    </row>
    <row r="2" spans="1:5" x14ac:dyDescent="0.25">
      <c r="A2" s="4">
        <v>2019</v>
      </c>
      <c r="B2" s="5" t="s">
        <v>5</v>
      </c>
      <c r="C2" s="5" t="s">
        <v>6</v>
      </c>
      <c r="D2" s="5">
        <v>3</v>
      </c>
      <c r="E2" s="6">
        <v>35000</v>
      </c>
    </row>
    <row r="3" spans="1:5" x14ac:dyDescent="0.25">
      <c r="A3" s="4">
        <v>2019</v>
      </c>
      <c r="B3" s="5" t="s">
        <v>7</v>
      </c>
      <c r="C3" s="5" t="s">
        <v>8</v>
      </c>
      <c r="D3" s="5">
        <v>5</v>
      </c>
      <c r="E3" s="6">
        <v>85000</v>
      </c>
    </row>
    <row r="4" spans="1:5" x14ac:dyDescent="0.25">
      <c r="A4" s="4">
        <v>2020</v>
      </c>
      <c r="B4" s="5" t="s">
        <v>9</v>
      </c>
      <c r="C4" s="5" t="s">
        <v>10</v>
      </c>
      <c r="D4" s="5">
        <v>6</v>
      </c>
      <c r="E4" s="6">
        <v>150000</v>
      </c>
    </row>
    <row r="5" spans="1:5" x14ac:dyDescent="0.25">
      <c r="A5" s="4">
        <v>2020</v>
      </c>
      <c r="B5" s="5" t="s">
        <v>11</v>
      </c>
      <c r="C5" s="5" t="s">
        <v>12</v>
      </c>
      <c r="D5" s="5">
        <v>4</v>
      </c>
      <c r="E5" s="6">
        <v>85000</v>
      </c>
    </row>
    <row r="6" spans="1:5" x14ac:dyDescent="0.25">
      <c r="A6" s="4">
        <v>2021</v>
      </c>
      <c r="B6" s="5" t="s">
        <v>13</v>
      </c>
      <c r="C6" s="5" t="s">
        <v>14</v>
      </c>
      <c r="D6" s="5">
        <v>2</v>
      </c>
      <c r="E6" s="6">
        <v>50000</v>
      </c>
    </row>
    <row r="7" spans="1:5" x14ac:dyDescent="0.25">
      <c r="A7" s="4">
        <v>2021</v>
      </c>
      <c r="B7" s="5" t="s">
        <v>15</v>
      </c>
      <c r="C7" s="5" t="s">
        <v>16</v>
      </c>
      <c r="D7" s="5">
        <v>5</v>
      </c>
      <c r="E7" s="6">
        <v>125000</v>
      </c>
    </row>
    <row r="8" spans="1:5" x14ac:dyDescent="0.25">
      <c r="A8" s="4">
        <v>2017</v>
      </c>
      <c r="B8" s="5" t="s">
        <v>17</v>
      </c>
      <c r="C8" s="5" t="s">
        <v>12</v>
      </c>
      <c r="D8" s="5">
        <v>1</v>
      </c>
      <c r="E8" s="6">
        <v>120000</v>
      </c>
    </row>
    <row r="9" spans="1:5" x14ac:dyDescent="0.25">
      <c r="A9" s="4">
        <v>2017</v>
      </c>
      <c r="B9" s="5" t="s">
        <v>18</v>
      </c>
      <c r="C9" s="5" t="s">
        <v>16</v>
      </c>
      <c r="D9" s="5">
        <v>4</v>
      </c>
      <c r="E9" s="6">
        <v>250000</v>
      </c>
    </row>
    <row r="10" spans="1:5" x14ac:dyDescent="0.25">
      <c r="A10" s="4">
        <v>2018</v>
      </c>
      <c r="B10" s="5" t="s">
        <v>7</v>
      </c>
      <c r="C10" s="5" t="s">
        <v>6</v>
      </c>
      <c r="D10" s="5">
        <v>5</v>
      </c>
      <c r="E10" s="6">
        <v>40000</v>
      </c>
    </row>
    <row r="11" spans="1:5" x14ac:dyDescent="0.25">
      <c r="A11" s="4">
        <v>2018</v>
      </c>
      <c r="B11" s="5" t="s">
        <v>9</v>
      </c>
      <c r="C11" s="5" t="s">
        <v>12</v>
      </c>
      <c r="D11" s="5">
        <v>4</v>
      </c>
      <c r="E11" s="6">
        <v>220000</v>
      </c>
    </row>
    <row r="12" spans="1:5" x14ac:dyDescent="0.25">
      <c r="A12" s="4">
        <v>2019</v>
      </c>
      <c r="B12" s="5" t="s">
        <v>11</v>
      </c>
      <c r="C12" s="5" t="s">
        <v>16</v>
      </c>
      <c r="D12" s="5">
        <v>7</v>
      </c>
      <c r="E12" s="6">
        <v>120000</v>
      </c>
    </row>
    <row r="13" spans="1:5" x14ac:dyDescent="0.25">
      <c r="A13" s="4">
        <v>2019</v>
      </c>
      <c r="B13" s="5" t="s">
        <v>13</v>
      </c>
      <c r="C13" s="5" t="s">
        <v>8</v>
      </c>
      <c r="D13" s="5">
        <v>3</v>
      </c>
      <c r="E13" s="6">
        <v>35000</v>
      </c>
    </row>
    <row r="14" spans="1:5" x14ac:dyDescent="0.25">
      <c r="A14" s="4">
        <v>2020</v>
      </c>
      <c r="B14" s="5" t="s">
        <v>15</v>
      </c>
      <c r="C14" s="5" t="s">
        <v>16</v>
      </c>
      <c r="D14" s="5">
        <v>4</v>
      </c>
      <c r="E14" s="6">
        <v>300000</v>
      </c>
    </row>
    <row r="15" spans="1:5" x14ac:dyDescent="0.25">
      <c r="A15" s="4">
        <v>2020</v>
      </c>
      <c r="B15" s="5" t="s">
        <v>15</v>
      </c>
      <c r="C15" s="5" t="s">
        <v>16</v>
      </c>
      <c r="D15" s="5">
        <v>3</v>
      </c>
      <c r="E15" s="6">
        <v>250000</v>
      </c>
    </row>
    <row r="16" spans="1:5" x14ac:dyDescent="0.25">
      <c r="A16" s="4">
        <v>2021</v>
      </c>
      <c r="B16" s="5" t="s">
        <v>17</v>
      </c>
      <c r="C16" s="5" t="s">
        <v>16</v>
      </c>
      <c r="D16" s="5">
        <v>4</v>
      </c>
      <c r="E16" s="6">
        <v>170000</v>
      </c>
    </row>
    <row r="17" spans="1:5" x14ac:dyDescent="0.25">
      <c r="A17" s="4">
        <v>2021</v>
      </c>
      <c r="B17" s="5" t="s">
        <v>18</v>
      </c>
      <c r="C17" s="5" t="s">
        <v>14</v>
      </c>
      <c r="D17" s="5">
        <v>2</v>
      </c>
      <c r="E17" s="6">
        <v>350000</v>
      </c>
    </row>
    <row r="18" spans="1:5" x14ac:dyDescent="0.25">
      <c r="A18" s="4">
        <v>2017</v>
      </c>
      <c r="B18" s="5" t="s">
        <v>7</v>
      </c>
      <c r="C18" s="5" t="s">
        <v>14</v>
      </c>
      <c r="D18" s="5">
        <v>1</v>
      </c>
      <c r="E18" s="6">
        <v>80000</v>
      </c>
    </row>
    <row r="19" spans="1:5" x14ac:dyDescent="0.25">
      <c r="A19" s="4">
        <v>2017</v>
      </c>
      <c r="B19" s="5" t="s">
        <v>18</v>
      </c>
      <c r="C19" s="5" t="s">
        <v>14</v>
      </c>
      <c r="D19" s="5">
        <v>4</v>
      </c>
      <c r="E19" s="6">
        <v>250000</v>
      </c>
    </row>
    <row r="20" spans="1:5" x14ac:dyDescent="0.25">
      <c r="A20" s="4">
        <v>2018</v>
      </c>
      <c r="B20" s="5" t="s">
        <v>11</v>
      </c>
      <c r="C20" s="5" t="s">
        <v>14</v>
      </c>
      <c r="D20" s="5">
        <v>2</v>
      </c>
      <c r="E20" s="6">
        <v>150000</v>
      </c>
    </row>
    <row r="21" spans="1:5" x14ac:dyDescent="0.25">
      <c r="A21" s="7">
        <v>2018</v>
      </c>
      <c r="B21" s="8" t="s">
        <v>13</v>
      </c>
      <c r="C21" s="8" t="s">
        <v>12</v>
      </c>
      <c r="D21" s="8">
        <v>4</v>
      </c>
      <c r="E21" s="9">
        <v>350000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00F396-6145-4EAF-B8A2-8A4DE9250D96}">
  <sheetPr codeName="Sheet7"/>
  <dimension ref="A1:G641"/>
  <sheetViews>
    <sheetView workbookViewId="0">
      <selection activeCell="J28" sqref="J28"/>
    </sheetView>
  </sheetViews>
  <sheetFormatPr defaultRowHeight="15" x14ac:dyDescent="0.25"/>
  <cols>
    <col min="1" max="1" width="5" style="23" bestFit="1" customWidth="1"/>
    <col min="2" max="2" width="12.140625" style="23" bestFit="1" customWidth="1"/>
    <col min="3" max="3" width="18" style="23" bestFit="1" customWidth="1"/>
    <col min="4" max="4" width="13.140625" style="23" bestFit="1" customWidth="1"/>
    <col min="5" max="5" width="12.42578125" style="23" bestFit="1" customWidth="1"/>
    <col min="6" max="6" width="13.42578125" style="23" bestFit="1" customWidth="1"/>
    <col min="7" max="7" width="16" style="23" bestFit="1" customWidth="1"/>
    <col min="8" max="16384" width="9.140625" style="23"/>
  </cols>
  <sheetData>
    <row r="1" spans="1:7" x14ac:dyDescent="0.25">
      <c r="A1" s="23" t="s">
        <v>0</v>
      </c>
      <c r="B1" s="23" t="s">
        <v>183</v>
      </c>
      <c r="C1" s="23" t="s">
        <v>184</v>
      </c>
      <c r="D1" s="23" t="s">
        <v>185</v>
      </c>
      <c r="E1" s="23" t="s">
        <v>186</v>
      </c>
      <c r="F1" s="23" t="s">
        <v>179</v>
      </c>
      <c r="G1" s="23" t="s">
        <v>180</v>
      </c>
    </row>
    <row r="2" spans="1:7" x14ac:dyDescent="0.25">
      <c r="A2" s="23">
        <v>2020</v>
      </c>
      <c r="B2" s="23" t="s">
        <v>187</v>
      </c>
      <c r="C2" s="23" t="s">
        <v>181</v>
      </c>
      <c r="D2" s="23" t="s">
        <v>188</v>
      </c>
      <c r="E2" s="23">
        <v>113</v>
      </c>
      <c r="F2" s="23">
        <v>10</v>
      </c>
      <c r="G2" s="23">
        <v>123</v>
      </c>
    </row>
    <row r="3" spans="1:7" x14ac:dyDescent="0.25">
      <c r="A3" s="23">
        <v>2020</v>
      </c>
      <c r="B3" s="23" t="s">
        <v>187</v>
      </c>
      <c r="C3" s="23" t="s">
        <v>181</v>
      </c>
      <c r="D3" s="23" t="s">
        <v>190</v>
      </c>
      <c r="E3" s="23">
        <v>57</v>
      </c>
      <c r="F3" s="23">
        <v>67</v>
      </c>
      <c r="G3" s="23">
        <v>124</v>
      </c>
    </row>
    <row r="4" spans="1:7" x14ac:dyDescent="0.25">
      <c r="A4" s="23">
        <v>2020</v>
      </c>
      <c r="B4" s="23" t="s">
        <v>187</v>
      </c>
      <c r="C4" s="23" t="s">
        <v>182</v>
      </c>
      <c r="D4" s="23" t="s">
        <v>188</v>
      </c>
      <c r="E4" s="23">
        <v>161</v>
      </c>
      <c r="F4" s="23">
        <v>55</v>
      </c>
      <c r="G4" s="23">
        <v>216</v>
      </c>
    </row>
    <row r="5" spans="1:7" x14ac:dyDescent="0.25">
      <c r="A5" s="23">
        <v>2020</v>
      </c>
      <c r="B5" s="23" t="s">
        <v>187</v>
      </c>
      <c r="C5" s="23" t="s">
        <v>182</v>
      </c>
      <c r="D5" s="23" t="s">
        <v>190</v>
      </c>
      <c r="E5" s="23">
        <v>113</v>
      </c>
      <c r="F5" s="23">
        <v>72</v>
      </c>
      <c r="G5" s="23">
        <v>185</v>
      </c>
    </row>
    <row r="6" spans="1:7" x14ac:dyDescent="0.25">
      <c r="A6" s="23">
        <v>2020</v>
      </c>
      <c r="B6" s="23" t="s">
        <v>187</v>
      </c>
      <c r="C6" s="23" t="s">
        <v>197</v>
      </c>
      <c r="D6" s="23" t="s">
        <v>188</v>
      </c>
      <c r="E6" s="23">
        <v>93</v>
      </c>
      <c r="F6" s="23">
        <v>25</v>
      </c>
      <c r="G6" s="23">
        <v>118</v>
      </c>
    </row>
    <row r="7" spans="1:7" x14ac:dyDescent="0.25">
      <c r="A7" s="23">
        <v>2020</v>
      </c>
      <c r="B7" s="23" t="s">
        <v>187</v>
      </c>
      <c r="C7" s="23" t="s">
        <v>197</v>
      </c>
      <c r="D7" s="23" t="s">
        <v>190</v>
      </c>
      <c r="E7" s="23">
        <v>110</v>
      </c>
      <c r="F7" s="23">
        <v>102</v>
      </c>
      <c r="G7" s="23">
        <v>212</v>
      </c>
    </row>
    <row r="8" spans="1:7" x14ac:dyDescent="0.25">
      <c r="A8" s="23">
        <v>2020</v>
      </c>
      <c r="B8" s="23" t="s">
        <v>187</v>
      </c>
      <c r="C8" s="23" t="s">
        <v>198</v>
      </c>
      <c r="D8" s="23" t="s">
        <v>188</v>
      </c>
      <c r="E8" s="23">
        <v>252</v>
      </c>
      <c r="F8" s="23">
        <v>78</v>
      </c>
      <c r="G8" s="23">
        <v>330</v>
      </c>
    </row>
    <row r="9" spans="1:7" x14ac:dyDescent="0.25">
      <c r="A9" s="23">
        <v>2020</v>
      </c>
      <c r="B9" s="23" t="s">
        <v>187</v>
      </c>
      <c r="C9" s="23" t="s">
        <v>198</v>
      </c>
      <c r="D9" s="23" t="s">
        <v>190</v>
      </c>
      <c r="E9" s="23">
        <v>125</v>
      </c>
      <c r="F9" s="23">
        <v>88</v>
      </c>
      <c r="G9" s="23">
        <v>213</v>
      </c>
    </row>
    <row r="10" spans="1:7" x14ac:dyDescent="0.25">
      <c r="A10" s="23">
        <v>2020</v>
      </c>
      <c r="B10" s="23" t="s">
        <v>187</v>
      </c>
      <c r="C10" s="23" t="s">
        <v>199</v>
      </c>
      <c r="D10" s="23" t="s">
        <v>188</v>
      </c>
      <c r="E10" s="23">
        <v>191</v>
      </c>
      <c r="F10" s="23">
        <v>24</v>
      </c>
      <c r="G10" s="23">
        <v>215</v>
      </c>
    </row>
    <row r="11" spans="1:7" x14ac:dyDescent="0.25">
      <c r="A11" s="23">
        <v>2020</v>
      </c>
      <c r="B11" s="23" t="s">
        <v>187</v>
      </c>
      <c r="C11" s="23" t="s">
        <v>199</v>
      </c>
      <c r="D11" s="23" t="s">
        <v>190</v>
      </c>
      <c r="E11" s="23">
        <v>238</v>
      </c>
      <c r="F11" s="23">
        <v>52</v>
      </c>
      <c r="G11" s="23">
        <v>290</v>
      </c>
    </row>
    <row r="12" spans="1:7" x14ac:dyDescent="0.25">
      <c r="A12" s="23">
        <v>2020</v>
      </c>
      <c r="B12" s="23" t="s">
        <v>187</v>
      </c>
      <c r="C12" s="23" t="s">
        <v>200</v>
      </c>
      <c r="D12" s="23" t="s">
        <v>188</v>
      </c>
      <c r="E12" s="23">
        <v>202</v>
      </c>
      <c r="F12" s="23">
        <v>43</v>
      </c>
      <c r="G12" s="23">
        <v>245</v>
      </c>
    </row>
    <row r="13" spans="1:7" x14ac:dyDescent="0.25">
      <c r="A13" s="23">
        <v>2020</v>
      </c>
      <c r="B13" s="23" t="s">
        <v>187</v>
      </c>
      <c r="C13" s="23" t="s">
        <v>200</v>
      </c>
      <c r="D13" s="23" t="s">
        <v>190</v>
      </c>
      <c r="E13" s="23">
        <v>222</v>
      </c>
      <c r="F13" s="23">
        <v>74</v>
      </c>
      <c r="G13" s="23">
        <v>296</v>
      </c>
    </row>
    <row r="14" spans="1:7" x14ac:dyDescent="0.25">
      <c r="A14" s="23">
        <v>2020</v>
      </c>
      <c r="B14" s="23" t="s">
        <v>187</v>
      </c>
      <c r="C14" s="23" t="s">
        <v>201</v>
      </c>
      <c r="D14" s="23" t="s">
        <v>188</v>
      </c>
      <c r="E14" s="23">
        <v>59</v>
      </c>
      <c r="F14" s="23">
        <v>35</v>
      </c>
      <c r="G14" s="23">
        <v>94</v>
      </c>
    </row>
    <row r="15" spans="1:7" x14ac:dyDescent="0.25">
      <c r="A15" s="23">
        <v>2020</v>
      </c>
      <c r="B15" s="23" t="s">
        <v>187</v>
      </c>
      <c r="C15" s="23" t="s">
        <v>201</v>
      </c>
      <c r="D15" s="23" t="s">
        <v>190</v>
      </c>
      <c r="E15" s="23">
        <v>160</v>
      </c>
      <c r="F15" s="23">
        <v>45</v>
      </c>
      <c r="G15" s="23">
        <v>205</v>
      </c>
    </row>
    <row r="16" spans="1:7" x14ac:dyDescent="0.25">
      <c r="A16" s="23">
        <v>2020</v>
      </c>
      <c r="B16" s="23" t="s">
        <v>187</v>
      </c>
      <c r="C16" s="23" t="s">
        <v>202</v>
      </c>
      <c r="D16" s="23" t="s">
        <v>188</v>
      </c>
      <c r="E16" s="23">
        <v>227</v>
      </c>
      <c r="F16" s="23">
        <v>100</v>
      </c>
      <c r="G16" s="23">
        <v>327</v>
      </c>
    </row>
    <row r="17" spans="1:7" x14ac:dyDescent="0.25">
      <c r="A17" s="23">
        <v>2020</v>
      </c>
      <c r="B17" s="23" t="s">
        <v>187</v>
      </c>
      <c r="C17" s="23" t="s">
        <v>202</v>
      </c>
      <c r="D17" s="23" t="s">
        <v>190</v>
      </c>
      <c r="E17" s="23">
        <v>135</v>
      </c>
      <c r="F17" s="23">
        <v>39</v>
      </c>
      <c r="G17" s="23">
        <v>174</v>
      </c>
    </row>
    <row r="18" spans="1:7" x14ac:dyDescent="0.25">
      <c r="A18" s="23">
        <v>2020</v>
      </c>
      <c r="B18" s="23" t="s">
        <v>189</v>
      </c>
      <c r="C18" s="23" t="s">
        <v>181</v>
      </c>
      <c r="D18" s="23" t="s">
        <v>188</v>
      </c>
      <c r="E18" s="23">
        <v>233</v>
      </c>
      <c r="F18" s="23">
        <v>61</v>
      </c>
      <c r="G18" s="23">
        <v>294</v>
      </c>
    </row>
    <row r="19" spans="1:7" x14ac:dyDescent="0.25">
      <c r="A19" s="23">
        <v>2020</v>
      </c>
      <c r="B19" s="23" t="s">
        <v>189</v>
      </c>
      <c r="C19" s="23" t="s">
        <v>181</v>
      </c>
      <c r="D19" s="23" t="s">
        <v>190</v>
      </c>
      <c r="E19" s="23">
        <v>59</v>
      </c>
      <c r="F19" s="23">
        <v>86</v>
      </c>
      <c r="G19" s="23">
        <v>145</v>
      </c>
    </row>
    <row r="20" spans="1:7" x14ac:dyDescent="0.25">
      <c r="A20" s="23">
        <v>2020</v>
      </c>
      <c r="B20" s="23" t="s">
        <v>189</v>
      </c>
      <c r="C20" s="23" t="s">
        <v>182</v>
      </c>
      <c r="D20" s="23" t="s">
        <v>188</v>
      </c>
      <c r="E20" s="23">
        <v>115</v>
      </c>
      <c r="F20" s="23">
        <v>73</v>
      </c>
      <c r="G20" s="23">
        <v>188</v>
      </c>
    </row>
    <row r="21" spans="1:7" x14ac:dyDescent="0.25">
      <c r="A21" s="23">
        <v>2020</v>
      </c>
      <c r="B21" s="23" t="s">
        <v>189</v>
      </c>
      <c r="C21" s="23" t="s">
        <v>182</v>
      </c>
      <c r="D21" s="23" t="s">
        <v>190</v>
      </c>
      <c r="E21" s="23">
        <v>160</v>
      </c>
      <c r="F21" s="23">
        <v>57</v>
      </c>
      <c r="G21" s="23">
        <v>217</v>
      </c>
    </row>
    <row r="22" spans="1:7" x14ac:dyDescent="0.25">
      <c r="A22" s="23">
        <v>2020</v>
      </c>
      <c r="B22" s="23" t="s">
        <v>189</v>
      </c>
      <c r="C22" s="23" t="s">
        <v>197</v>
      </c>
      <c r="D22" s="23" t="s">
        <v>188</v>
      </c>
      <c r="E22" s="23">
        <v>56</v>
      </c>
      <c r="F22" s="23">
        <v>81</v>
      </c>
      <c r="G22" s="23">
        <v>137</v>
      </c>
    </row>
    <row r="23" spans="1:7" x14ac:dyDescent="0.25">
      <c r="A23" s="23">
        <v>2020</v>
      </c>
      <c r="B23" s="23" t="s">
        <v>189</v>
      </c>
      <c r="C23" s="23" t="s">
        <v>197</v>
      </c>
      <c r="D23" s="23" t="s">
        <v>190</v>
      </c>
      <c r="E23" s="23">
        <v>157</v>
      </c>
      <c r="F23" s="23">
        <v>50</v>
      </c>
      <c r="G23" s="23">
        <v>207</v>
      </c>
    </row>
    <row r="24" spans="1:7" x14ac:dyDescent="0.25">
      <c r="A24" s="23">
        <v>2020</v>
      </c>
      <c r="B24" s="23" t="s">
        <v>189</v>
      </c>
      <c r="C24" s="23" t="s">
        <v>198</v>
      </c>
      <c r="D24" s="23" t="s">
        <v>188</v>
      </c>
      <c r="E24" s="23">
        <v>239</v>
      </c>
      <c r="F24" s="23">
        <v>62</v>
      </c>
      <c r="G24" s="23">
        <v>301</v>
      </c>
    </row>
    <row r="25" spans="1:7" x14ac:dyDescent="0.25">
      <c r="A25" s="23">
        <v>2020</v>
      </c>
      <c r="B25" s="23" t="s">
        <v>189</v>
      </c>
      <c r="C25" s="23" t="s">
        <v>198</v>
      </c>
      <c r="D25" s="23" t="s">
        <v>190</v>
      </c>
      <c r="E25" s="23">
        <v>110</v>
      </c>
      <c r="F25" s="23">
        <v>50</v>
      </c>
      <c r="G25" s="23">
        <v>160</v>
      </c>
    </row>
    <row r="26" spans="1:7" x14ac:dyDescent="0.25">
      <c r="A26" s="23">
        <v>2020</v>
      </c>
      <c r="B26" s="23" t="s">
        <v>189</v>
      </c>
      <c r="C26" s="23" t="s">
        <v>199</v>
      </c>
      <c r="D26" s="23" t="s">
        <v>188</v>
      </c>
      <c r="E26" s="23">
        <v>143</v>
      </c>
      <c r="F26" s="23">
        <v>70</v>
      </c>
      <c r="G26" s="23">
        <v>213</v>
      </c>
    </row>
    <row r="27" spans="1:7" x14ac:dyDescent="0.25">
      <c r="A27" s="23">
        <v>2020</v>
      </c>
      <c r="B27" s="23" t="s">
        <v>189</v>
      </c>
      <c r="C27" s="23" t="s">
        <v>199</v>
      </c>
      <c r="D27" s="23" t="s">
        <v>190</v>
      </c>
      <c r="E27" s="23">
        <v>65</v>
      </c>
      <c r="F27" s="23">
        <v>56</v>
      </c>
      <c r="G27" s="23">
        <v>121</v>
      </c>
    </row>
    <row r="28" spans="1:7" x14ac:dyDescent="0.25">
      <c r="A28" s="23">
        <v>2020</v>
      </c>
      <c r="B28" s="23" t="s">
        <v>189</v>
      </c>
      <c r="C28" s="23" t="s">
        <v>200</v>
      </c>
      <c r="D28" s="23" t="s">
        <v>188</v>
      </c>
      <c r="E28" s="23">
        <v>187</v>
      </c>
      <c r="F28" s="23">
        <v>30</v>
      </c>
      <c r="G28" s="23">
        <v>217</v>
      </c>
    </row>
    <row r="29" spans="1:7" x14ac:dyDescent="0.25">
      <c r="A29" s="23">
        <v>2020</v>
      </c>
      <c r="B29" s="23" t="s">
        <v>189</v>
      </c>
      <c r="C29" s="23" t="s">
        <v>200</v>
      </c>
      <c r="D29" s="23" t="s">
        <v>190</v>
      </c>
      <c r="E29" s="23">
        <v>158</v>
      </c>
      <c r="F29" s="23">
        <v>72</v>
      </c>
      <c r="G29" s="23">
        <v>230</v>
      </c>
    </row>
    <row r="30" spans="1:7" x14ac:dyDescent="0.25">
      <c r="A30" s="23">
        <v>2020</v>
      </c>
      <c r="B30" s="23" t="s">
        <v>189</v>
      </c>
      <c r="C30" s="23" t="s">
        <v>201</v>
      </c>
      <c r="D30" s="23" t="s">
        <v>188</v>
      </c>
      <c r="E30" s="23">
        <v>132</v>
      </c>
      <c r="F30" s="23">
        <v>29</v>
      </c>
      <c r="G30" s="23">
        <v>161</v>
      </c>
    </row>
    <row r="31" spans="1:7" x14ac:dyDescent="0.25">
      <c r="A31" s="23">
        <v>2020</v>
      </c>
      <c r="B31" s="23" t="s">
        <v>189</v>
      </c>
      <c r="C31" s="23" t="s">
        <v>201</v>
      </c>
      <c r="D31" s="23" t="s">
        <v>190</v>
      </c>
      <c r="E31" s="23">
        <v>87</v>
      </c>
      <c r="F31" s="23">
        <v>71</v>
      </c>
      <c r="G31" s="23">
        <v>158</v>
      </c>
    </row>
    <row r="32" spans="1:7" x14ac:dyDescent="0.25">
      <c r="A32" s="23">
        <v>2020</v>
      </c>
      <c r="B32" s="23" t="s">
        <v>189</v>
      </c>
      <c r="C32" s="23" t="s">
        <v>202</v>
      </c>
      <c r="D32" s="23" t="s">
        <v>188</v>
      </c>
      <c r="E32" s="23">
        <v>156</v>
      </c>
      <c r="F32" s="23">
        <v>30</v>
      </c>
      <c r="G32" s="23">
        <v>186</v>
      </c>
    </row>
    <row r="33" spans="1:7" x14ac:dyDescent="0.25">
      <c r="A33" s="23">
        <v>2020</v>
      </c>
      <c r="B33" s="23" t="s">
        <v>189</v>
      </c>
      <c r="C33" s="23" t="s">
        <v>202</v>
      </c>
      <c r="D33" s="23" t="s">
        <v>190</v>
      </c>
      <c r="E33" s="23">
        <v>221</v>
      </c>
      <c r="F33" s="23">
        <v>80</v>
      </c>
      <c r="G33" s="23">
        <v>301</v>
      </c>
    </row>
    <row r="34" spans="1:7" x14ac:dyDescent="0.25">
      <c r="A34" s="23">
        <v>2020</v>
      </c>
      <c r="B34" s="23" t="s">
        <v>191</v>
      </c>
      <c r="C34" s="23" t="s">
        <v>181</v>
      </c>
      <c r="D34" s="23" t="s">
        <v>188</v>
      </c>
      <c r="E34" s="23">
        <v>243</v>
      </c>
      <c r="F34" s="23">
        <v>50</v>
      </c>
      <c r="G34" s="23">
        <v>293</v>
      </c>
    </row>
    <row r="35" spans="1:7" x14ac:dyDescent="0.25">
      <c r="A35" s="23">
        <v>2020</v>
      </c>
      <c r="B35" s="23" t="s">
        <v>191</v>
      </c>
      <c r="C35" s="23" t="s">
        <v>181</v>
      </c>
      <c r="D35" s="23" t="s">
        <v>190</v>
      </c>
      <c r="E35" s="23">
        <v>206</v>
      </c>
      <c r="F35" s="23">
        <v>15</v>
      </c>
      <c r="G35" s="23">
        <v>221</v>
      </c>
    </row>
    <row r="36" spans="1:7" x14ac:dyDescent="0.25">
      <c r="A36" s="23">
        <v>2020</v>
      </c>
      <c r="B36" s="23" t="s">
        <v>191</v>
      </c>
      <c r="C36" s="23" t="s">
        <v>182</v>
      </c>
      <c r="D36" s="23" t="s">
        <v>188</v>
      </c>
      <c r="E36" s="23">
        <v>54</v>
      </c>
      <c r="F36" s="23">
        <v>87</v>
      </c>
      <c r="G36" s="23">
        <v>141</v>
      </c>
    </row>
    <row r="37" spans="1:7" x14ac:dyDescent="0.25">
      <c r="A37" s="23">
        <v>2020</v>
      </c>
      <c r="B37" s="23" t="s">
        <v>191</v>
      </c>
      <c r="C37" s="23" t="s">
        <v>182</v>
      </c>
      <c r="D37" s="23" t="s">
        <v>190</v>
      </c>
      <c r="E37" s="23">
        <v>182</v>
      </c>
      <c r="F37" s="23">
        <v>95</v>
      </c>
      <c r="G37" s="23">
        <v>277</v>
      </c>
    </row>
    <row r="38" spans="1:7" x14ac:dyDescent="0.25">
      <c r="A38" s="23">
        <v>2020</v>
      </c>
      <c r="B38" s="23" t="s">
        <v>191</v>
      </c>
      <c r="C38" s="23" t="s">
        <v>197</v>
      </c>
      <c r="D38" s="23" t="s">
        <v>188</v>
      </c>
      <c r="E38" s="23">
        <v>94</v>
      </c>
      <c r="F38" s="23">
        <v>18</v>
      </c>
      <c r="G38" s="23">
        <v>112</v>
      </c>
    </row>
    <row r="39" spans="1:7" x14ac:dyDescent="0.25">
      <c r="A39" s="23">
        <v>2020</v>
      </c>
      <c r="B39" s="23" t="s">
        <v>191</v>
      </c>
      <c r="C39" s="23" t="s">
        <v>197</v>
      </c>
      <c r="D39" s="23" t="s">
        <v>190</v>
      </c>
      <c r="E39" s="23">
        <v>78</v>
      </c>
      <c r="F39" s="23">
        <v>83</v>
      </c>
      <c r="G39" s="23">
        <v>161</v>
      </c>
    </row>
    <row r="40" spans="1:7" x14ac:dyDescent="0.25">
      <c r="A40" s="23">
        <v>2020</v>
      </c>
      <c r="B40" s="23" t="s">
        <v>191</v>
      </c>
      <c r="C40" s="23" t="s">
        <v>198</v>
      </c>
      <c r="D40" s="23" t="s">
        <v>188</v>
      </c>
      <c r="E40" s="23">
        <v>219</v>
      </c>
      <c r="F40" s="23">
        <v>40</v>
      </c>
      <c r="G40" s="23">
        <v>259</v>
      </c>
    </row>
    <row r="41" spans="1:7" x14ac:dyDescent="0.25">
      <c r="A41" s="23">
        <v>2020</v>
      </c>
      <c r="B41" s="23" t="s">
        <v>191</v>
      </c>
      <c r="C41" s="23" t="s">
        <v>198</v>
      </c>
      <c r="D41" s="23" t="s">
        <v>190</v>
      </c>
      <c r="E41" s="23">
        <v>210</v>
      </c>
      <c r="F41" s="23">
        <v>30</v>
      </c>
      <c r="G41" s="23">
        <v>240</v>
      </c>
    </row>
    <row r="42" spans="1:7" x14ac:dyDescent="0.25">
      <c r="A42" s="23">
        <v>2020</v>
      </c>
      <c r="B42" s="23" t="s">
        <v>191</v>
      </c>
      <c r="C42" s="23" t="s">
        <v>199</v>
      </c>
      <c r="D42" s="23" t="s">
        <v>188</v>
      </c>
      <c r="E42" s="23">
        <v>178</v>
      </c>
      <c r="F42" s="23">
        <v>16</v>
      </c>
      <c r="G42" s="23">
        <v>194</v>
      </c>
    </row>
    <row r="43" spans="1:7" x14ac:dyDescent="0.25">
      <c r="A43" s="23">
        <v>2020</v>
      </c>
      <c r="B43" s="23" t="s">
        <v>191</v>
      </c>
      <c r="C43" s="23" t="s">
        <v>199</v>
      </c>
      <c r="D43" s="23" t="s">
        <v>190</v>
      </c>
      <c r="E43" s="23">
        <v>190</v>
      </c>
      <c r="F43" s="23">
        <v>53</v>
      </c>
      <c r="G43" s="23">
        <v>243</v>
      </c>
    </row>
    <row r="44" spans="1:7" x14ac:dyDescent="0.25">
      <c r="A44" s="23">
        <v>2020</v>
      </c>
      <c r="B44" s="23" t="s">
        <v>191</v>
      </c>
      <c r="C44" s="23" t="s">
        <v>200</v>
      </c>
      <c r="D44" s="23" t="s">
        <v>188</v>
      </c>
      <c r="E44" s="23">
        <v>98</v>
      </c>
      <c r="F44" s="23">
        <v>61</v>
      </c>
      <c r="G44" s="23">
        <v>159</v>
      </c>
    </row>
    <row r="45" spans="1:7" x14ac:dyDescent="0.25">
      <c r="A45" s="23">
        <v>2020</v>
      </c>
      <c r="B45" s="23" t="s">
        <v>191</v>
      </c>
      <c r="C45" s="23" t="s">
        <v>200</v>
      </c>
      <c r="D45" s="23" t="s">
        <v>190</v>
      </c>
      <c r="E45" s="23">
        <v>164</v>
      </c>
      <c r="F45" s="23">
        <v>27</v>
      </c>
      <c r="G45" s="23">
        <v>191</v>
      </c>
    </row>
    <row r="46" spans="1:7" x14ac:dyDescent="0.25">
      <c r="A46" s="23">
        <v>2020</v>
      </c>
      <c r="B46" s="23" t="s">
        <v>191</v>
      </c>
      <c r="C46" s="23" t="s">
        <v>201</v>
      </c>
      <c r="D46" s="23" t="s">
        <v>188</v>
      </c>
      <c r="E46" s="23">
        <v>99</v>
      </c>
      <c r="F46" s="23">
        <v>80</v>
      </c>
      <c r="G46" s="23">
        <v>179</v>
      </c>
    </row>
    <row r="47" spans="1:7" x14ac:dyDescent="0.25">
      <c r="A47" s="23">
        <v>2020</v>
      </c>
      <c r="B47" s="23" t="s">
        <v>191</v>
      </c>
      <c r="C47" s="23" t="s">
        <v>201</v>
      </c>
      <c r="D47" s="23" t="s">
        <v>190</v>
      </c>
      <c r="E47" s="23">
        <v>180</v>
      </c>
      <c r="F47" s="23">
        <v>109</v>
      </c>
      <c r="G47" s="23">
        <v>289</v>
      </c>
    </row>
    <row r="48" spans="1:7" x14ac:dyDescent="0.25">
      <c r="A48" s="23">
        <v>2020</v>
      </c>
      <c r="B48" s="23" t="s">
        <v>191</v>
      </c>
      <c r="C48" s="23" t="s">
        <v>202</v>
      </c>
      <c r="D48" s="23" t="s">
        <v>188</v>
      </c>
      <c r="E48" s="23">
        <v>259</v>
      </c>
      <c r="F48" s="23">
        <v>101</v>
      </c>
      <c r="G48" s="23">
        <v>360</v>
      </c>
    </row>
    <row r="49" spans="1:7" x14ac:dyDescent="0.25">
      <c r="A49" s="23">
        <v>2020</v>
      </c>
      <c r="B49" s="23" t="s">
        <v>191</v>
      </c>
      <c r="C49" s="23" t="s">
        <v>202</v>
      </c>
      <c r="D49" s="23" t="s">
        <v>190</v>
      </c>
      <c r="E49" s="23">
        <v>114</v>
      </c>
      <c r="F49" s="23">
        <v>32</v>
      </c>
      <c r="G49" s="23">
        <v>146</v>
      </c>
    </row>
    <row r="50" spans="1:7" x14ac:dyDescent="0.25">
      <c r="A50" s="23">
        <v>2020</v>
      </c>
      <c r="B50" s="23" t="s">
        <v>193</v>
      </c>
      <c r="C50" s="23" t="s">
        <v>181</v>
      </c>
      <c r="D50" s="23" t="s">
        <v>188</v>
      </c>
      <c r="E50" s="23">
        <v>173</v>
      </c>
      <c r="F50" s="23">
        <v>23</v>
      </c>
      <c r="G50" s="23">
        <v>196</v>
      </c>
    </row>
    <row r="51" spans="1:7" x14ac:dyDescent="0.25">
      <c r="A51" s="23">
        <v>2020</v>
      </c>
      <c r="B51" s="23" t="s">
        <v>193</v>
      </c>
      <c r="C51" s="23" t="s">
        <v>181</v>
      </c>
      <c r="D51" s="23" t="s">
        <v>190</v>
      </c>
      <c r="E51" s="23">
        <v>219</v>
      </c>
      <c r="F51" s="23">
        <v>15</v>
      </c>
      <c r="G51" s="23">
        <v>234</v>
      </c>
    </row>
    <row r="52" spans="1:7" x14ac:dyDescent="0.25">
      <c r="A52" s="23">
        <v>2020</v>
      </c>
      <c r="B52" s="23" t="s">
        <v>193</v>
      </c>
      <c r="C52" s="23" t="s">
        <v>182</v>
      </c>
      <c r="D52" s="23" t="s">
        <v>188</v>
      </c>
      <c r="E52" s="23">
        <v>213</v>
      </c>
      <c r="F52" s="23">
        <v>69</v>
      </c>
      <c r="G52" s="23">
        <v>282</v>
      </c>
    </row>
    <row r="53" spans="1:7" x14ac:dyDescent="0.25">
      <c r="A53" s="23">
        <v>2020</v>
      </c>
      <c r="B53" s="23" t="s">
        <v>193</v>
      </c>
      <c r="C53" s="23" t="s">
        <v>182</v>
      </c>
      <c r="D53" s="23" t="s">
        <v>190</v>
      </c>
      <c r="E53" s="23">
        <v>252</v>
      </c>
      <c r="F53" s="23">
        <v>29</v>
      </c>
      <c r="G53" s="23">
        <v>281</v>
      </c>
    </row>
    <row r="54" spans="1:7" x14ac:dyDescent="0.25">
      <c r="A54" s="23">
        <v>2020</v>
      </c>
      <c r="B54" s="23" t="s">
        <v>193</v>
      </c>
      <c r="C54" s="23" t="s">
        <v>197</v>
      </c>
      <c r="D54" s="23" t="s">
        <v>188</v>
      </c>
      <c r="E54" s="23">
        <v>90</v>
      </c>
      <c r="F54" s="23">
        <v>31</v>
      </c>
      <c r="G54" s="23">
        <v>121</v>
      </c>
    </row>
    <row r="55" spans="1:7" x14ac:dyDescent="0.25">
      <c r="A55" s="23">
        <v>2020</v>
      </c>
      <c r="B55" s="23" t="s">
        <v>193</v>
      </c>
      <c r="C55" s="23" t="s">
        <v>197</v>
      </c>
      <c r="D55" s="23" t="s">
        <v>190</v>
      </c>
      <c r="E55" s="23">
        <v>221</v>
      </c>
      <c r="F55" s="23">
        <v>52</v>
      </c>
      <c r="G55" s="23">
        <v>273</v>
      </c>
    </row>
    <row r="56" spans="1:7" x14ac:dyDescent="0.25">
      <c r="A56" s="23">
        <v>2020</v>
      </c>
      <c r="B56" s="23" t="s">
        <v>193</v>
      </c>
      <c r="C56" s="23" t="s">
        <v>198</v>
      </c>
      <c r="D56" s="23" t="s">
        <v>188</v>
      </c>
      <c r="E56" s="23">
        <v>125</v>
      </c>
      <c r="F56" s="23">
        <v>38</v>
      </c>
      <c r="G56" s="23">
        <v>163</v>
      </c>
    </row>
    <row r="57" spans="1:7" x14ac:dyDescent="0.25">
      <c r="A57" s="23">
        <v>2020</v>
      </c>
      <c r="B57" s="23" t="s">
        <v>193</v>
      </c>
      <c r="C57" s="23" t="s">
        <v>198</v>
      </c>
      <c r="D57" s="23" t="s">
        <v>190</v>
      </c>
      <c r="E57" s="23">
        <v>82</v>
      </c>
      <c r="F57" s="23">
        <v>92</v>
      </c>
      <c r="G57" s="23">
        <v>174</v>
      </c>
    </row>
    <row r="58" spans="1:7" x14ac:dyDescent="0.25">
      <c r="A58" s="23">
        <v>2020</v>
      </c>
      <c r="B58" s="23" t="s">
        <v>193</v>
      </c>
      <c r="C58" s="23" t="s">
        <v>199</v>
      </c>
      <c r="D58" s="23" t="s">
        <v>188</v>
      </c>
      <c r="E58" s="23">
        <v>175</v>
      </c>
      <c r="F58" s="23">
        <v>56</v>
      </c>
      <c r="G58" s="23">
        <v>231</v>
      </c>
    </row>
    <row r="59" spans="1:7" x14ac:dyDescent="0.25">
      <c r="A59" s="23">
        <v>2020</v>
      </c>
      <c r="B59" s="23" t="s">
        <v>193</v>
      </c>
      <c r="C59" s="23" t="s">
        <v>199</v>
      </c>
      <c r="D59" s="23" t="s">
        <v>190</v>
      </c>
      <c r="E59" s="23">
        <v>188</v>
      </c>
      <c r="F59" s="23">
        <v>94</v>
      </c>
      <c r="G59" s="23">
        <v>282</v>
      </c>
    </row>
    <row r="60" spans="1:7" x14ac:dyDescent="0.25">
      <c r="A60" s="23">
        <v>2020</v>
      </c>
      <c r="B60" s="23" t="s">
        <v>193</v>
      </c>
      <c r="C60" s="23" t="s">
        <v>200</v>
      </c>
      <c r="D60" s="23" t="s">
        <v>188</v>
      </c>
      <c r="E60" s="23">
        <v>253</v>
      </c>
      <c r="F60" s="23">
        <v>65</v>
      </c>
      <c r="G60" s="23">
        <v>318</v>
      </c>
    </row>
    <row r="61" spans="1:7" x14ac:dyDescent="0.25">
      <c r="A61" s="23">
        <v>2020</v>
      </c>
      <c r="B61" s="23" t="s">
        <v>193</v>
      </c>
      <c r="C61" s="23" t="s">
        <v>200</v>
      </c>
      <c r="D61" s="23" t="s">
        <v>190</v>
      </c>
      <c r="E61" s="23">
        <v>42</v>
      </c>
      <c r="F61" s="23">
        <v>67</v>
      </c>
      <c r="G61" s="23">
        <v>109</v>
      </c>
    </row>
    <row r="62" spans="1:7" x14ac:dyDescent="0.25">
      <c r="A62" s="23">
        <v>2020</v>
      </c>
      <c r="B62" s="23" t="s">
        <v>193</v>
      </c>
      <c r="C62" s="23" t="s">
        <v>201</v>
      </c>
      <c r="D62" s="23" t="s">
        <v>188</v>
      </c>
      <c r="E62" s="23">
        <v>85</v>
      </c>
      <c r="F62" s="23">
        <v>81</v>
      </c>
      <c r="G62" s="23">
        <v>166</v>
      </c>
    </row>
    <row r="63" spans="1:7" x14ac:dyDescent="0.25">
      <c r="A63" s="23">
        <v>2020</v>
      </c>
      <c r="B63" s="23" t="s">
        <v>193</v>
      </c>
      <c r="C63" s="23" t="s">
        <v>201</v>
      </c>
      <c r="D63" s="23" t="s">
        <v>190</v>
      </c>
      <c r="E63" s="23">
        <v>140</v>
      </c>
      <c r="F63" s="23">
        <v>48</v>
      </c>
      <c r="G63" s="23">
        <v>188</v>
      </c>
    </row>
    <row r="64" spans="1:7" x14ac:dyDescent="0.25">
      <c r="A64" s="23">
        <v>2020</v>
      </c>
      <c r="B64" s="23" t="s">
        <v>193</v>
      </c>
      <c r="C64" s="23" t="s">
        <v>202</v>
      </c>
      <c r="D64" s="23" t="s">
        <v>188</v>
      </c>
      <c r="E64" s="23">
        <v>97</v>
      </c>
      <c r="F64" s="23">
        <v>83</v>
      </c>
      <c r="G64" s="23">
        <v>180</v>
      </c>
    </row>
    <row r="65" spans="1:7" x14ac:dyDescent="0.25">
      <c r="A65" s="23">
        <v>2020</v>
      </c>
      <c r="B65" s="23" t="s">
        <v>193</v>
      </c>
      <c r="C65" s="23" t="s">
        <v>202</v>
      </c>
      <c r="D65" s="23" t="s">
        <v>190</v>
      </c>
      <c r="E65" s="23">
        <v>201</v>
      </c>
      <c r="F65" s="23">
        <v>17</v>
      </c>
      <c r="G65" s="23">
        <v>218</v>
      </c>
    </row>
    <row r="66" spans="1:7" x14ac:dyDescent="0.25">
      <c r="A66" s="23">
        <v>2020</v>
      </c>
      <c r="B66" s="23" t="s">
        <v>192</v>
      </c>
      <c r="C66" s="23" t="s">
        <v>181</v>
      </c>
      <c r="D66" s="23" t="s">
        <v>188</v>
      </c>
      <c r="E66" s="23">
        <v>99</v>
      </c>
      <c r="F66" s="23">
        <v>10</v>
      </c>
      <c r="G66" s="23">
        <v>109</v>
      </c>
    </row>
    <row r="67" spans="1:7" x14ac:dyDescent="0.25">
      <c r="A67" s="23">
        <v>2020</v>
      </c>
      <c r="B67" s="23" t="s">
        <v>192</v>
      </c>
      <c r="C67" s="23" t="s">
        <v>181</v>
      </c>
      <c r="D67" s="23" t="s">
        <v>190</v>
      </c>
      <c r="E67" s="23">
        <v>191</v>
      </c>
      <c r="F67" s="23">
        <v>110</v>
      </c>
      <c r="G67" s="23">
        <v>301</v>
      </c>
    </row>
    <row r="68" spans="1:7" x14ac:dyDescent="0.25">
      <c r="A68" s="23">
        <v>2020</v>
      </c>
      <c r="B68" s="23" t="s">
        <v>192</v>
      </c>
      <c r="C68" s="23" t="s">
        <v>182</v>
      </c>
      <c r="D68" s="23" t="s">
        <v>188</v>
      </c>
      <c r="E68" s="23">
        <v>137</v>
      </c>
      <c r="F68" s="23">
        <v>101</v>
      </c>
      <c r="G68" s="23">
        <v>238</v>
      </c>
    </row>
    <row r="69" spans="1:7" x14ac:dyDescent="0.25">
      <c r="A69" s="23">
        <v>2020</v>
      </c>
      <c r="B69" s="23" t="s">
        <v>192</v>
      </c>
      <c r="C69" s="23" t="s">
        <v>182</v>
      </c>
      <c r="D69" s="23" t="s">
        <v>190</v>
      </c>
      <c r="E69" s="23">
        <v>110</v>
      </c>
      <c r="F69" s="23">
        <v>100</v>
      </c>
      <c r="G69" s="23">
        <v>210</v>
      </c>
    </row>
    <row r="70" spans="1:7" x14ac:dyDescent="0.25">
      <c r="A70" s="23">
        <v>2020</v>
      </c>
      <c r="B70" s="23" t="s">
        <v>192</v>
      </c>
      <c r="C70" s="23" t="s">
        <v>197</v>
      </c>
      <c r="D70" s="23" t="s">
        <v>188</v>
      </c>
      <c r="E70" s="23">
        <v>243</v>
      </c>
      <c r="F70" s="23">
        <v>34</v>
      </c>
      <c r="G70" s="23">
        <v>277</v>
      </c>
    </row>
    <row r="71" spans="1:7" x14ac:dyDescent="0.25">
      <c r="A71" s="23">
        <v>2020</v>
      </c>
      <c r="B71" s="23" t="s">
        <v>192</v>
      </c>
      <c r="C71" s="23" t="s">
        <v>197</v>
      </c>
      <c r="D71" s="23" t="s">
        <v>190</v>
      </c>
      <c r="E71" s="23">
        <v>147</v>
      </c>
      <c r="F71" s="23">
        <v>22</v>
      </c>
      <c r="G71" s="23">
        <v>169</v>
      </c>
    </row>
    <row r="72" spans="1:7" x14ac:dyDescent="0.25">
      <c r="A72" s="23">
        <v>2020</v>
      </c>
      <c r="B72" s="23" t="s">
        <v>192</v>
      </c>
      <c r="C72" s="23" t="s">
        <v>198</v>
      </c>
      <c r="D72" s="23" t="s">
        <v>188</v>
      </c>
      <c r="E72" s="23">
        <v>95</v>
      </c>
      <c r="F72" s="23">
        <v>52</v>
      </c>
      <c r="G72" s="23">
        <v>147</v>
      </c>
    </row>
    <row r="73" spans="1:7" x14ac:dyDescent="0.25">
      <c r="A73" s="23">
        <v>2020</v>
      </c>
      <c r="B73" s="23" t="s">
        <v>192</v>
      </c>
      <c r="C73" s="23" t="s">
        <v>198</v>
      </c>
      <c r="D73" s="23" t="s">
        <v>190</v>
      </c>
      <c r="E73" s="23">
        <v>135</v>
      </c>
      <c r="F73" s="23">
        <v>48</v>
      </c>
      <c r="G73" s="23">
        <v>183</v>
      </c>
    </row>
    <row r="74" spans="1:7" x14ac:dyDescent="0.25">
      <c r="A74" s="23">
        <v>2020</v>
      </c>
      <c r="B74" s="23" t="s">
        <v>192</v>
      </c>
      <c r="C74" s="23" t="s">
        <v>199</v>
      </c>
      <c r="D74" s="23" t="s">
        <v>188</v>
      </c>
      <c r="E74" s="23">
        <v>183</v>
      </c>
      <c r="F74" s="23">
        <v>30</v>
      </c>
      <c r="G74" s="23">
        <v>213</v>
      </c>
    </row>
    <row r="75" spans="1:7" x14ac:dyDescent="0.25">
      <c r="A75" s="23">
        <v>2020</v>
      </c>
      <c r="B75" s="23" t="s">
        <v>192</v>
      </c>
      <c r="C75" s="23" t="s">
        <v>199</v>
      </c>
      <c r="D75" s="23" t="s">
        <v>190</v>
      </c>
      <c r="E75" s="23">
        <v>235</v>
      </c>
      <c r="F75" s="23">
        <v>81</v>
      </c>
      <c r="G75" s="23">
        <v>316</v>
      </c>
    </row>
    <row r="76" spans="1:7" x14ac:dyDescent="0.25">
      <c r="A76" s="23">
        <v>2020</v>
      </c>
      <c r="B76" s="23" t="s">
        <v>192</v>
      </c>
      <c r="C76" s="23" t="s">
        <v>200</v>
      </c>
      <c r="D76" s="23" t="s">
        <v>188</v>
      </c>
      <c r="E76" s="23">
        <v>142</v>
      </c>
      <c r="F76" s="23">
        <v>49</v>
      </c>
      <c r="G76" s="23">
        <v>191</v>
      </c>
    </row>
    <row r="77" spans="1:7" x14ac:dyDescent="0.25">
      <c r="A77" s="23">
        <v>2020</v>
      </c>
      <c r="B77" s="23" t="s">
        <v>192</v>
      </c>
      <c r="C77" s="23" t="s">
        <v>200</v>
      </c>
      <c r="D77" s="23" t="s">
        <v>190</v>
      </c>
      <c r="E77" s="23">
        <v>66</v>
      </c>
      <c r="F77" s="23">
        <v>45</v>
      </c>
      <c r="G77" s="23">
        <v>111</v>
      </c>
    </row>
    <row r="78" spans="1:7" x14ac:dyDescent="0.25">
      <c r="A78" s="23">
        <v>2020</v>
      </c>
      <c r="B78" s="23" t="s">
        <v>192</v>
      </c>
      <c r="C78" s="23" t="s">
        <v>201</v>
      </c>
      <c r="D78" s="23" t="s">
        <v>188</v>
      </c>
      <c r="E78" s="23">
        <v>124</v>
      </c>
      <c r="F78" s="23">
        <v>54</v>
      </c>
      <c r="G78" s="23">
        <v>178</v>
      </c>
    </row>
    <row r="79" spans="1:7" x14ac:dyDescent="0.25">
      <c r="A79" s="23">
        <v>2020</v>
      </c>
      <c r="B79" s="23" t="s">
        <v>192</v>
      </c>
      <c r="C79" s="23" t="s">
        <v>201</v>
      </c>
      <c r="D79" s="23" t="s">
        <v>190</v>
      </c>
      <c r="E79" s="23">
        <v>250</v>
      </c>
      <c r="F79" s="23">
        <v>41</v>
      </c>
      <c r="G79" s="23">
        <v>291</v>
      </c>
    </row>
    <row r="80" spans="1:7" x14ac:dyDescent="0.25">
      <c r="A80" s="23">
        <v>2020</v>
      </c>
      <c r="B80" s="23" t="s">
        <v>192</v>
      </c>
      <c r="C80" s="23" t="s">
        <v>202</v>
      </c>
      <c r="D80" s="23" t="s">
        <v>188</v>
      </c>
      <c r="E80" s="23">
        <v>144</v>
      </c>
      <c r="F80" s="23">
        <v>61</v>
      </c>
      <c r="G80" s="23">
        <v>205</v>
      </c>
    </row>
    <row r="81" spans="1:7" x14ac:dyDescent="0.25">
      <c r="A81" s="23">
        <v>2020</v>
      </c>
      <c r="B81" s="23" t="s">
        <v>192</v>
      </c>
      <c r="C81" s="23" t="s">
        <v>202</v>
      </c>
      <c r="D81" s="23" t="s">
        <v>190</v>
      </c>
      <c r="E81" s="23">
        <v>65</v>
      </c>
      <c r="F81" s="23">
        <v>47</v>
      </c>
      <c r="G81" s="23">
        <v>112</v>
      </c>
    </row>
    <row r="82" spans="1:7" x14ac:dyDescent="0.25">
      <c r="A82" s="23">
        <v>2020</v>
      </c>
      <c r="B82" s="23" t="s">
        <v>196</v>
      </c>
      <c r="C82" s="23" t="s">
        <v>181</v>
      </c>
      <c r="D82" s="23" t="s">
        <v>188</v>
      </c>
      <c r="E82" s="23">
        <v>229</v>
      </c>
      <c r="F82" s="23">
        <v>73</v>
      </c>
      <c r="G82" s="23">
        <v>302</v>
      </c>
    </row>
    <row r="83" spans="1:7" x14ac:dyDescent="0.25">
      <c r="A83" s="23">
        <v>2020</v>
      </c>
      <c r="B83" s="23" t="s">
        <v>196</v>
      </c>
      <c r="C83" s="23" t="s">
        <v>181</v>
      </c>
      <c r="D83" s="23" t="s">
        <v>190</v>
      </c>
      <c r="E83" s="23">
        <v>204</v>
      </c>
      <c r="F83" s="23">
        <v>75</v>
      </c>
      <c r="G83" s="23">
        <v>279</v>
      </c>
    </row>
    <row r="84" spans="1:7" x14ac:dyDescent="0.25">
      <c r="A84" s="23">
        <v>2020</v>
      </c>
      <c r="B84" s="23" t="s">
        <v>196</v>
      </c>
      <c r="C84" s="23" t="s">
        <v>182</v>
      </c>
      <c r="D84" s="23" t="s">
        <v>188</v>
      </c>
      <c r="E84" s="23">
        <v>102</v>
      </c>
      <c r="F84" s="23">
        <v>89</v>
      </c>
      <c r="G84" s="23">
        <v>191</v>
      </c>
    </row>
    <row r="85" spans="1:7" x14ac:dyDescent="0.25">
      <c r="A85" s="23">
        <v>2020</v>
      </c>
      <c r="B85" s="23" t="s">
        <v>196</v>
      </c>
      <c r="C85" s="23" t="s">
        <v>182</v>
      </c>
      <c r="D85" s="23" t="s">
        <v>190</v>
      </c>
      <c r="E85" s="23">
        <v>257</v>
      </c>
      <c r="F85" s="23">
        <v>83</v>
      </c>
      <c r="G85" s="23">
        <v>340</v>
      </c>
    </row>
    <row r="86" spans="1:7" x14ac:dyDescent="0.25">
      <c r="A86" s="23">
        <v>2020</v>
      </c>
      <c r="B86" s="23" t="s">
        <v>196</v>
      </c>
      <c r="C86" s="23" t="s">
        <v>197</v>
      </c>
      <c r="D86" s="23" t="s">
        <v>188</v>
      </c>
      <c r="E86" s="23">
        <v>73</v>
      </c>
      <c r="F86" s="23">
        <v>11</v>
      </c>
      <c r="G86" s="23">
        <v>84</v>
      </c>
    </row>
    <row r="87" spans="1:7" x14ac:dyDescent="0.25">
      <c r="A87" s="23">
        <v>2020</v>
      </c>
      <c r="B87" s="23" t="s">
        <v>196</v>
      </c>
      <c r="C87" s="23" t="s">
        <v>197</v>
      </c>
      <c r="D87" s="23" t="s">
        <v>190</v>
      </c>
      <c r="E87" s="23">
        <v>204</v>
      </c>
      <c r="F87" s="23">
        <v>46</v>
      </c>
      <c r="G87" s="23">
        <v>250</v>
      </c>
    </row>
    <row r="88" spans="1:7" x14ac:dyDescent="0.25">
      <c r="A88" s="23">
        <v>2020</v>
      </c>
      <c r="B88" s="23" t="s">
        <v>196</v>
      </c>
      <c r="C88" s="23" t="s">
        <v>198</v>
      </c>
      <c r="D88" s="23" t="s">
        <v>188</v>
      </c>
      <c r="E88" s="23">
        <v>234</v>
      </c>
      <c r="F88" s="23">
        <v>97</v>
      </c>
      <c r="G88" s="23">
        <v>331</v>
      </c>
    </row>
    <row r="89" spans="1:7" x14ac:dyDescent="0.25">
      <c r="A89" s="23">
        <v>2020</v>
      </c>
      <c r="B89" s="23" t="s">
        <v>196</v>
      </c>
      <c r="C89" s="23" t="s">
        <v>198</v>
      </c>
      <c r="D89" s="23" t="s">
        <v>190</v>
      </c>
      <c r="E89" s="23">
        <v>51</v>
      </c>
      <c r="F89" s="23">
        <v>45</v>
      </c>
      <c r="G89" s="23">
        <v>96</v>
      </c>
    </row>
    <row r="90" spans="1:7" x14ac:dyDescent="0.25">
      <c r="A90" s="23">
        <v>2020</v>
      </c>
      <c r="B90" s="23" t="s">
        <v>196</v>
      </c>
      <c r="C90" s="23" t="s">
        <v>199</v>
      </c>
      <c r="D90" s="23" t="s">
        <v>188</v>
      </c>
      <c r="E90" s="23">
        <v>101</v>
      </c>
      <c r="F90" s="23">
        <v>97</v>
      </c>
      <c r="G90" s="23">
        <v>198</v>
      </c>
    </row>
    <row r="91" spans="1:7" x14ac:dyDescent="0.25">
      <c r="A91" s="23">
        <v>2020</v>
      </c>
      <c r="B91" s="23" t="s">
        <v>196</v>
      </c>
      <c r="C91" s="23" t="s">
        <v>199</v>
      </c>
      <c r="D91" s="23" t="s">
        <v>190</v>
      </c>
      <c r="E91" s="23">
        <v>182</v>
      </c>
      <c r="F91" s="23">
        <v>101</v>
      </c>
      <c r="G91" s="23">
        <v>283</v>
      </c>
    </row>
    <row r="92" spans="1:7" x14ac:dyDescent="0.25">
      <c r="A92" s="23">
        <v>2020</v>
      </c>
      <c r="B92" s="23" t="s">
        <v>196</v>
      </c>
      <c r="C92" s="23" t="s">
        <v>200</v>
      </c>
      <c r="D92" s="23" t="s">
        <v>188</v>
      </c>
      <c r="E92" s="23">
        <v>153</v>
      </c>
      <c r="F92" s="23">
        <v>93</v>
      </c>
      <c r="G92" s="23">
        <v>246</v>
      </c>
    </row>
    <row r="93" spans="1:7" x14ac:dyDescent="0.25">
      <c r="A93" s="23">
        <v>2020</v>
      </c>
      <c r="B93" s="23" t="s">
        <v>196</v>
      </c>
      <c r="C93" s="23" t="s">
        <v>200</v>
      </c>
      <c r="D93" s="23" t="s">
        <v>190</v>
      </c>
      <c r="E93" s="23">
        <v>150</v>
      </c>
      <c r="F93" s="23">
        <v>19</v>
      </c>
      <c r="G93" s="23">
        <v>169</v>
      </c>
    </row>
    <row r="94" spans="1:7" x14ac:dyDescent="0.25">
      <c r="A94" s="23">
        <v>2020</v>
      </c>
      <c r="B94" s="23" t="s">
        <v>196</v>
      </c>
      <c r="C94" s="23" t="s">
        <v>201</v>
      </c>
      <c r="D94" s="23" t="s">
        <v>188</v>
      </c>
      <c r="E94" s="23">
        <v>242</v>
      </c>
      <c r="F94" s="23">
        <v>32</v>
      </c>
      <c r="G94" s="23">
        <v>274</v>
      </c>
    </row>
    <row r="95" spans="1:7" x14ac:dyDescent="0.25">
      <c r="A95" s="23">
        <v>2020</v>
      </c>
      <c r="B95" s="23" t="s">
        <v>196</v>
      </c>
      <c r="C95" s="23" t="s">
        <v>201</v>
      </c>
      <c r="D95" s="23" t="s">
        <v>190</v>
      </c>
      <c r="E95" s="23">
        <v>142</v>
      </c>
      <c r="F95" s="23">
        <v>105</v>
      </c>
      <c r="G95" s="23">
        <v>247</v>
      </c>
    </row>
    <row r="96" spans="1:7" x14ac:dyDescent="0.25">
      <c r="A96" s="23">
        <v>2020</v>
      </c>
      <c r="B96" s="23" t="s">
        <v>196</v>
      </c>
      <c r="C96" s="23" t="s">
        <v>202</v>
      </c>
      <c r="D96" s="23" t="s">
        <v>188</v>
      </c>
      <c r="E96" s="23">
        <v>67</v>
      </c>
      <c r="F96" s="23">
        <v>99</v>
      </c>
      <c r="G96" s="23">
        <v>166</v>
      </c>
    </row>
    <row r="97" spans="1:7" x14ac:dyDescent="0.25">
      <c r="A97" s="23">
        <v>2020</v>
      </c>
      <c r="B97" s="23" t="s">
        <v>196</v>
      </c>
      <c r="C97" s="23" t="s">
        <v>202</v>
      </c>
      <c r="D97" s="23" t="s">
        <v>190</v>
      </c>
      <c r="E97" s="23">
        <v>142</v>
      </c>
      <c r="F97" s="23">
        <v>42</v>
      </c>
      <c r="G97" s="23">
        <v>184</v>
      </c>
    </row>
    <row r="98" spans="1:7" x14ac:dyDescent="0.25">
      <c r="A98" s="23">
        <v>2020</v>
      </c>
      <c r="B98" s="23" t="s">
        <v>194</v>
      </c>
      <c r="C98" s="23" t="s">
        <v>181</v>
      </c>
      <c r="D98" s="23" t="s">
        <v>188</v>
      </c>
      <c r="E98" s="23">
        <v>40</v>
      </c>
      <c r="F98" s="23">
        <v>34</v>
      </c>
      <c r="G98" s="23">
        <v>74</v>
      </c>
    </row>
    <row r="99" spans="1:7" x14ac:dyDescent="0.25">
      <c r="A99" s="23">
        <v>2020</v>
      </c>
      <c r="B99" s="23" t="s">
        <v>194</v>
      </c>
      <c r="C99" s="23" t="s">
        <v>181</v>
      </c>
      <c r="D99" s="23" t="s">
        <v>190</v>
      </c>
      <c r="E99" s="23">
        <v>223</v>
      </c>
      <c r="F99" s="23">
        <v>15</v>
      </c>
      <c r="G99" s="23">
        <v>238</v>
      </c>
    </row>
    <row r="100" spans="1:7" x14ac:dyDescent="0.25">
      <c r="A100" s="23">
        <v>2020</v>
      </c>
      <c r="B100" s="23" t="s">
        <v>194</v>
      </c>
      <c r="C100" s="23" t="s">
        <v>182</v>
      </c>
      <c r="D100" s="23" t="s">
        <v>188</v>
      </c>
      <c r="E100" s="23">
        <v>94</v>
      </c>
      <c r="F100" s="23">
        <v>17</v>
      </c>
      <c r="G100" s="23">
        <v>111</v>
      </c>
    </row>
    <row r="101" spans="1:7" x14ac:dyDescent="0.25">
      <c r="A101" s="23">
        <v>2020</v>
      </c>
      <c r="B101" s="23" t="s">
        <v>194</v>
      </c>
      <c r="C101" s="23" t="s">
        <v>182</v>
      </c>
      <c r="D101" s="23" t="s">
        <v>190</v>
      </c>
      <c r="E101" s="23">
        <v>108</v>
      </c>
      <c r="F101" s="23">
        <v>14</v>
      </c>
      <c r="G101" s="23">
        <v>122</v>
      </c>
    </row>
    <row r="102" spans="1:7" x14ac:dyDescent="0.25">
      <c r="A102" s="23">
        <v>2020</v>
      </c>
      <c r="B102" s="23" t="s">
        <v>194</v>
      </c>
      <c r="C102" s="23" t="s">
        <v>197</v>
      </c>
      <c r="D102" s="23" t="s">
        <v>188</v>
      </c>
      <c r="E102" s="23">
        <v>133</v>
      </c>
      <c r="F102" s="23">
        <v>32</v>
      </c>
      <c r="G102" s="23">
        <v>165</v>
      </c>
    </row>
    <row r="103" spans="1:7" x14ac:dyDescent="0.25">
      <c r="A103" s="23">
        <v>2020</v>
      </c>
      <c r="B103" s="23" t="s">
        <v>194</v>
      </c>
      <c r="C103" s="23" t="s">
        <v>197</v>
      </c>
      <c r="D103" s="23" t="s">
        <v>190</v>
      </c>
      <c r="E103" s="23">
        <v>227</v>
      </c>
      <c r="F103" s="23">
        <v>105</v>
      </c>
      <c r="G103" s="23">
        <v>332</v>
      </c>
    </row>
    <row r="104" spans="1:7" x14ac:dyDescent="0.25">
      <c r="A104" s="23">
        <v>2020</v>
      </c>
      <c r="B104" s="23" t="s">
        <v>194</v>
      </c>
      <c r="C104" s="23" t="s">
        <v>198</v>
      </c>
      <c r="D104" s="23" t="s">
        <v>188</v>
      </c>
      <c r="E104" s="23">
        <v>247</v>
      </c>
      <c r="F104" s="23">
        <v>86</v>
      </c>
      <c r="G104" s="23">
        <v>333</v>
      </c>
    </row>
    <row r="105" spans="1:7" x14ac:dyDescent="0.25">
      <c r="A105" s="23">
        <v>2020</v>
      </c>
      <c r="B105" s="23" t="s">
        <v>194</v>
      </c>
      <c r="C105" s="23" t="s">
        <v>198</v>
      </c>
      <c r="D105" s="23" t="s">
        <v>190</v>
      </c>
      <c r="E105" s="23">
        <v>189</v>
      </c>
      <c r="F105" s="23">
        <v>55</v>
      </c>
      <c r="G105" s="23">
        <v>244</v>
      </c>
    </row>
    <row r="106" spans="1:7" x14ac:dyDescent="0.25">
      <c r="A106" s="23">
        <v>2020</v>
      </c>
      <c r="B106" s="23" t="s">
        <v>194</v>
      </c>
      <c r="C106" s="23" t="s">
        <v>199</v>
      </c>
      <c r="D106" s="23" t="s">
        <v>188</v>
      </c>
      <c r="E106" s="23">
        <v>109</v>
      </c>
      <c r="F106" s="23">
        <v>45</v>
      </c>
      <c r="G106" s="23">
        <v>154</v>
      </c>
    </row>
    <row r="107" spans="1:7" x14ac:dyDescent="0.25">
      <c r="A107" s="23">
        <v>2020</v>
      </c>
      <c r="B107" s="23" t="s">
        <v>194</v>
      </c>
      <c r="C107" s="23" t="s">
        <v>199</v>
      </c>
      <c r="D107" s="23" t="s">
        <v>190</v>
      </c>
      <c r="E107" s="23">
        <v>254</v>
      </c>
      <c r="F107" s="23">
        <v>19</v>
      </c>
      <c r="G107" s="23">
        <v>273</v>
      </c>
    </row>
    <row r="108" spans="1:7" x14ac:dyDescent="0.25">
      <c r="A108" s="23">
        <v>2020</v>
      </c>
      <c r="B108" s="23" t="s">
        <v>194</v>
      </c>
      <c r="C108" s="23" t="s">
        <v>200</v>
      </c>
      <c r="D108" s="23" t="s">
        <v>188</v>
      </c>
      <c r="E108" s="23">
        <v>57</v>
      </c>
      <c r="F108" s="23">
        <v>85</v>
      </c>
      <c r="G108" s="23">
        <v>142</v>
      </c>
    </row>
    <row r="109" spans="1:7" x14ac:dyDescent="0.25">
      <c r="A109" s="23">
        <v>2020</v>
      </c>
      <c r="B109" s="23" t="s">
        <v>194</v>
      </c>
      <c r="C109" s="23" t="s">
        <v>200</v>
      </c>
      <c r="D109" s="23" t="s">
        <v>190</v>
      </c>
      <c r="E109" s="23">
        <v>74</v>
      </c>
      <c r="F109" s="23">
        <v>70</v>
      </c>
      <c r="G109" s="23">
        <v>144</v>
      </c>
    </row>
    <row r="110" spans="1:7" x14ac:dyDescent="0.25">
      <c r="A110" s="23">
        <v>2020</v>
      </c>
      <c r="B110" s="23" t="s">
        <v>194</v>
      </c>
      <c r="C110" s="23" t="s">
        <v>201</v>
      </c>
      <c r="D110" s="23" t="s">
        <v>188</v>
      </c>
      <c r="E110" s="23">
        <v>156</v>
      </c>
      <c r="F110" s="23">
        <v>52</v>
      </c>
      <c r="G110" s="23">
        <v>208</v>
      </c>
    </row>
    <row r="111" spans="1:7" x14ac:dyDescent="0.25">
      <c r="A111" s="23">
        <v>2020</v>
      </c>
      <c r="B111" s="23" t="s">
        <v>194</v>
      </c>
      <c r="C111" s="23" t="s">
        <v>201</v>
      </c>
      <c r="D111" s="23" t="s">
        <v>190</v>
      </c>
      <c r="E111" s="23">
        <v>190</v>
      </c>
      <c r="F111" s="23">
        <v>47</v>
      </c>
      <c r="G111" s="23">
        <v>237</v>
      </c>
    </row>
    <row r="112" spans="1:7" x14ac:dyDescent="0.25">
      <c r="A112" s="23">
        <v>2020</v>
      </c>
      <c r="B112" s="23" t="s">
        <v>194</v>
      </c>
      <c r="C112" s="23" t="s">
        <v>202</v>
      </c>
      <c r="D112" s="23" t="s">
        <v>188</v>
      </c>
      <c r="E112" s="23">
        <v>219</v>
      </c>
      <c r="F112" s="23">
        <v>101</v>
      </c>
      <c r="G112" s="23">
        <v>320</v>
      </c>
    </row>
    <row r="113" spans="1:7" x14ac:dyDescent="0.25">
      <c r="A113" s="23">
        <v>2020</v>
      </c>
      <c r="B113" s="23" t="s">
        <v>194</v>
      </c>
      <c r="C113" s="23" t="s">
        <v>202</v>
      </c>
      <c r="D113" s="23" t="s">
        <v>190</v>
      </c>
      <c r="E113" s="23">
        <v>73</v>
      </c>
      <c r="F113" s="23">
        <v>77</v>
      </c>
      <c r="G113" s="23">
        <v>150</v>
      </c>
    </row>
    <row r="114" spans="1:7" x14ac:dyDescent="0.25">
      <c r="A114" s="23">
        <v>2020</v>
      </c>
      <c r="B114" s="23" t="s">
        <v>195</v>
      </c>
      <c r="C114" s="23" t="s">
        <v>181</v>
      </c>
      <c r="D114" s="23" t="s">
        <v>188</v>
      </c>
      <c r="E114" s="23">
        <v>55</v>
      </c>
      <c r="F114" s="14">
        <v>19</v>
      </c>
      <c r="G114" s="23">
        <v>74</v>
      </c>
    </row>
    <row r="115" spans="1:7" x14ac:dyDescent="0.25">
      <c r="A115" s="23">
        <v>2020</v>
      </c>
      <c r="B115" s="23" t="s">
        <v>195</v>
      </c>
      <c r="C115" s="23" t="s">
        <v>181</v>
      </c>
      <c r="D115" s="23" t="s">
        <v>190</v>
      </c>
      <c r="E115" s="23">
        <v>228</v>
      </c>
      <c r="F115" s="14">
        <v>82</v>
      </c>
      <c r="G115" s="23">
        <v>310</v>
      </c>
    </row>
    <row r="116" spans="1:7" x14ac:dyDescent="0.25">
      <c r="A116" s="23">
        <v>2020</v>
      </c>
      <c r="B116" s="23" t="s">
        <v>195</v>
      </c>
      <c r="C116" s="23" t="s">
        <v>182</v>
      </c>
      <c r="D116" s="23" t="s">
        <v>188</v>
      </c>
      <c r="E116" s="23">
        <v>214</v>
      </c>
      <c r="F116" s="14">
        <v>30</v>
      </c>
      <c r="G116" s="23">
        <v>244</v>
      </c>
    </row>
    <row r="117" spans="1:7" x14ac:dyDescent="0.25">
      <c r="A117" s="23">
        <v>2020</v>
      </c>
      <c r="B117" s="23" t="s">
        <v>195</v>
      </c>
      <c r="C117" s="23" t="s">
        <v>182</v>
      </c>
      <c r="D117" s="23" t="s">
        <v>190</v>
      </c>
      <c r="E117" s="23">
        <v>256</v>
      </c>
      <c r="F117" s="14">
        <v>52</v>
      </c>
      <c r="G117" s="23">
        <v>308</v>
      </c>
    </row>
    <row r="118" spans="1:7" x14ac:dyDescent="0.25">
      <c r="A118" s="23">
        <v>2020</v>
      </c>
      <c r="B118" s="23" t="s">
        <v>195</v>
      </c>
      <c r="C118" s="23" t="s">
        <v>197</v>
      </c>
      <c r="D118" s="23" t="s">
        <v>188</v>
      </c>
      <c r="E118" s="23">
        <v>122</v>
      </c>
      <c r="F118" s="14">
        <v>109</v>
      </c>
      <c r="G118" s="23">
        <v>231</v>
      </c>
    </row>
    <row r="119" spans="1:7" x14ac:dyDescent="0.25">
      <c r="A119" s="23">
        <v>2020</v>
      </c>
      <c r="B119" s="23" t="s">
        <v>195</v>
      </c>
      <c r="C119" s="23" t="s">
        <v>197</v>
      </c>
      <c r="D119" s="23" t="s">
        <v>190</v>
      </c>
      <c r="E119" s="23">
        <v>50</v>
      </c>
      <c r="F119" s="14">
        <v>98</v>
      </c>
      <c r="G119" s="23">
        <v>148</v>
      </c>
    </row>
    <row r="120" spans="1:7" x14ac:dyDescent="0.25">
      <c r="A120" s="23">
        <v>2020</v>
      </c>
      <c r="B120" s="23" t="s">
        <v>195</v>
      </c>
      <c r="C120" s="23" t="s">
        <v>198</v>
      </c>
      <c r="D120" s="23" t="s">
        <v>188</v>
      </c>
      <c r="E120" s="23">
        <v>219</v>
      </c>
      <c r="F120" s="14">
        <v>18</v>
      </c>
      <c r="G120" s="23">
        <v>237</v>
      </c>
    </row>
    <row r="121" spans="1:7" x14ac:dyDescent="0.25">
      <c r="A121" s="23">
        <v>2020</v>
      </c>
      <c r="B121" s="23" t="s">
        <v>195</v>
      </c>
      <c r="C121" s="23" t="s">
        <v>198</v>
      </c>
      <c r="D121" s="23" t="s">
        <v>190</v>
      </c>
      <c r="E121" s="23">
        <v>126</v>
      </c>
      <c r="F121" s="14">
        <v>16</v>
      </c>
      <c r="G121" s="23">
        <v>142</v>
      </c>
    </row>
    <row r="122" spans="1:7" x14ac:dyDescent="0.25">
      <c r="A122" s="23">
        <v>2020</v>
      </c>
      <c r="B122" s="23" t="s">
        <v>195</v>
      </c>
      <c r="C122" s="23" t="s">
        <v>199</v>
      </c>
      <c r="D122" s="23" t="s">
        <v>188</v>
      </c>
      <c r="E122" s="23">
        <v>243</v>
      </c>
      <c r="F122" s="14">
        <v>35</v>
      </c>
      <c r="G122" s="23">
        <v>278</v>
      </c>
    </row>
    <row r="123" spans="1:7" x14ac:dyDescent="0.25">
      <c r="A123" s="23">
        <v>2020</v>
      </c>
      <c r="B123" s="23" t="s">
        <v>195</v>
      </c>
      <c r="C123" s="23" t="s">
        <v>199</v>
      </c>
      <c r="D123" s="23" t="s">
        <v>190</v>
      </c>
      <c r="E123" s="23">
        <v>242</v>
      </c>
      <c r="F123" s="14">
        <v>65</v>
      </c>
      <c r="G123" s="23">
        <v>307</v>
      </c>
    </row>
    <row r="124" spans="1:7" x14ac:dyDescent="0.25">
      <c r="A124" s="23">
        <v>2020</v>
      </c>
      <c r="B124" s="23" t="s">
        <v>195</v>
      </c>
      <c r="C124" s="23" t="s">
        <v>200</v>
      </c>
      <c r="D124" s="23" t="s">
        <v>188</v>
      </c>
      <c r="E124" s="23">
        <v>146</v>
      </c>
      <c r="F124" s="14">
        <v>82</v>
      </c>
      <c r="G124" s="23">
        <v>228</v>
      </c>
    </row>
    <row r="125" spans="1:7" x14ac:dyDescent="0.25">
      <c r="A125" s="23">
        <v>2020</v>
      </c>
      <c r="B125" s="23" t="s">
        <v>195</v>
      </c>
      <c r="C125" s="23" t="s">
        <v>200</v>
      </c>
      <c r="D125" s="23" t="s">
        <v>190</v>
      </c>
      <c r="E125" s="23">
        <v>129</v>
      </c>
      <c r="F125" s="14">
        <v>71</v>
      </c>
      <c r="G125" s="23">
        <v>200</v>
      </c>
    </row>
    <row r="126" spans="1:7" x14ac:dyDescent="0.25">
      <c r="A126" s="23">
        <v>2020</v>
      </c>
      <c r="B126" s="23" t="s">
        <v>195</v>
      </c>
      <c r="C126" s="23" t="s">
        <v>201</v>
      </c>
      <c r="D126" s="23" t="s">
        <v>188</v>
      </c>
      <c r="E126" s="23">
        <v>52</v>
      </c>
      <c r="F126" s="14">
        <v>56</v>
      </c>
      <c r="G126" s="23">
        <v>108</v>
      </c>
    </row>
    <row r="127" spans="1:7" x14ac:dyDescent="0.25">
      <c r="A127" s="23">
        <v>2020</v>
      </c>
      <c r="B127" s="23" t="s">
        <v>195</v>
      </c>
      <c r="C127" s="23" t="s">
        <v>201</v>
      </c>
      <c r="D127" s="23" t="s">
        <v>190</v>
      </c>
      <c r="E127" s="23">
        <v>86</v>
      </c>
      <c r="F127" s="14">
        <v>75</v>
      </c>
      <c r="G127" s="23">
        <v>161</v>
      </c>
    </row>
    <row r="128" spans="1:7" x14ac:dyDescent="0.25">
      <c r="A128" s="23">
        <v>2020</v>
      </c>
      <c r="B128" s="23" t="s">
        <v>195</v>
      </c>
      <c r="C128" s="23" t="s">
        <v>202</v>
      </c>
      <c r="D128" s="23" t="s">
        <v>188</v>
      </c>
      <c r="E128" s="23">
        <v>66</v>
      </c>
      <c r="F128" s="14">
        <v>42</v>
      </c>
      <c r="G128" s="23">
        <v>108</v>
      </c>
    </row>
    <row r="129" spans="1:7" x14ac:dyDescent="0.25">
      <c r="A129" s="23">
        <v>2020</v>
      </c>
      <c r="B129" s="23" t="s">
        <v>195</v>
      </c>
      <c r="C129" s="23" t="s">
        <v>202</v>
      </c>
      <c r="D129" s="23" t="s">
        <v>190</v>
      </c>
      <c r="E129" s="23">
        <v>86</v>
      </c>
      <c r="F129" s="14">
        <v>89</v>
      </c>
      <c r="G129" s="23">
        <v>175</v>
      </c>
    </row>
    <row r="130" spans="1:7" x14ac:dyDescent="0.25">
      <c r="A130" s="23">
        <v>2021</v>
      </c>
      <c r="B130" s="23" t="s">
        <v>187</v>
      </c>
      <c r="C130" s="23" t="s">
        <v>181</v>
      </c>
      <c r="D130" s="23" t="s">
        <v>188</v>
      </c>
      <c r="E130" s="23">
        <v>88</v>
      </c>
      <c r="F130" s="23">
        <v>29</v>
      </c>
      <c r="G130" s="23">
        <v>117</v>
      </c>
    </row>
    <row r="131" spans="1:7" x14ac:dyDescent="0.25">
      <c r="A131" s="23">
        <v>2021</v>
      </c>
      <c r="B131" s="23" t="s">
        <v>187</v>
      </c>
      <c r="C131" s="23" t="s">
        <v>181</v>
      </c>
      <c r="D131" s="23" t="s">
        <v>190</v>
      </c>
      <c r="E131" s="23">
        <v>70</v>
      </c>
      <c r="F131" s="23">
        <v>54</v>
      </c>
      <c r="G131" s="23">
        <v>124</v>
      </c>
    </row>
    <row r="132" spans="1:7" x14ac:dyDescent="0.25">
      <c r="A132" s="23">
        <v>2021</v>
      </c>
      <c r="B132" s="23" t="s">
        <v>187</v>
      </c>
      <c r="C132" s="23" t="s">
        <v>182</v>
      </c>
      <c r="D132" s="23" t="s">
        <v>188</v>
      </c>
      <c r="E132" s="23">
        <v>104</v>
      </c>
      <c r="F132" s="23">
        <v>60</v>
      </c>
      <c r="G132" s="23">
        <v>164</v>
      </c>
    </row>
    <row r="133" spans="1:7" x14ac:dyDescent="0.25">
      <c r="A133" s="23">
        <v>2021</v>
      </c>
      <c r="B133" s="23" t="s">
        <v>187</v>
      </c>
      <c r="C133" s="23" t="s">
        <v>182</v>
      </c>
      <c r="D133" s="23" t="s">
        <v>190</v>
      </c>
      <c r="E133" s="23">
        <v>240</v>
      </c>
      <c r="F133" s="23">
        <v>89</v>
      </c>
      <c r="G133" s="23">
        <v>329</v>
      </c>
    </row>
    <row r="134" spans="1:7" x14ac:dyDescent="0.25">
      <c r="A134" s="23">
        <v>2021</v>
      </c>
      <c r="B134" s="23" t="s">
        <v>187</v>
      </c>
      <c r="C134" s="23" t="s">
        <v>197</v>
      </c>
      <c r="D134" s="23" t="s">
        <v>188</v>
      </c>
      <c r="E134" s="23">
        <v>55</v>
      </c>
      <c r="F134" s="23">
        <v>42</v>
      </c>
      <c r="G134" s="23">
        <v>97</v>
      </c>
    </row>
    <row r="135" spans="1:7" x14ac:dyDescent="0.25">
      <c r="A135" s="23">
        <v>2021</v>
      </c>
      <c r="B135" s="23" t="s">
        <v>187</v>
      </c>
      <c r="C135" s="23" t="s">
        <v>197</v>
      </c>
      <c r="D135" s="23" t="s">
        <v>190</v>
      </c>
      <c r="E135" s="23">
        <v>166</v>
      </c>
      <c r="F135" s="23">
        <v>80</v>
      </c>
      <c r="G135" s="23">
        <v>246</v>
      </c>
    </row>
    <row r="136" spans="1:7" x14ac:dyDescent="0.25">
      <c r="A136" s="23">
        <v>2021</v>
      </c>
      <c r="B136" s="23" t="s">
        <v>187</v>
      </c>
      <c r="C136" s="23" t="s">
        <v>198</v>
      </c>
      <c r="D136" s="23" t="s">
        <v>188</v>
      </c>
      <c r="E136" s="23">
        <v>97</v>
      </c>
      <c r="F136" s="23">
        <v>102</v>
      </c>
      <c r="G136" s="23">
        <v>199</v>
      </c>
    </row>
    <row r="137" spans="1:7" x14ac:dyDescent="0.25">
      <c r="A137" s="23">
        <v>2021</v>
      </c>
      <c r="B137" s="23" t="s">
        <v>187</v>
      </c>
      <c r="C137" s="23" t="s">
        <v>198</v>
      </c>
      <c r="D137" s="23" t="s">
        <v>190</v>
      </c>
      <c r="E137" s="23">
        <v>246</v>
      </c>
      <c r="F137" s="23">
        <v>99</v>
      </c>
      <c r="G137" s="23">
        <v>345</v>
      </c>
    </row>
    <row r="138" spans="1:7" x14ac:dyDescent="0.25">
      <c r="A138" s="23">
        <v>2021</v>
      </c>
      <c r="B138" s="23" t="s">
        <v>187</v>
      </c>
      <c r="C138" s="23" t="s">
        <v>199</v>
      </c>
      <c r="D138" s="23" t="s">
        <v>188</v>
      </c>
      <c r="E138" s="23">
        <v>106</v>
      </c>
      <c r="F138" s="23">
        <v>107</v>
      </c>
      <c r="G138" s="23">
        <v>213</v>
      </c>
    </row>
    <row r="139" spans="1:7" x14ac:dyDescent="0.25">
      <c r="A139" s="23">
        <v>2021</v>
      </c>
      <c r="B139" s="23" t="s">
        <v>187</v>
      </c>
      <c r="C139" s="23" t="s">
        <v>199</v>
      </c>
      <c r="D139" s="23" t="s">
        <v>190</v>
      </c>
      <c r="E139" s="23">
        <v>181</v>
      </c>
      <c r="F139" s="23">
        <v>76</v>
      </c>
      <c r="G139" s="23">
        <v>257</v>
      </c>
    </row>
    <row r="140" spans="1:7" x14ac:dyDescent="0.25">
      <c r="A140" s="23">
        <v>2021</v>
      </c>
      <c r="B140" s="23" t="s">
        <v>187</v>
      </c>
      <c r="C140" s="23" t="s">
        <v>200</v>
      </c>
      <c r="D140" s="23" t="s">
        <v>188</v>
      </c>
      <c r="E140" s="23">
        <v>54</v>
      </c>
      <c r="F140" s="23">
        <v>54</v>
      </c>
      <c r="G140" s="23">
        <v>108</v>
      </c>
    </row>
    <row r="141" spans="1:7" x14ac:dyDescent="0.25">
      <c r="A141" s="23">
        <v>2021</v>
      </c>
      <c r="B141" s="23" t="s">
        <v>187</v>
      </c>
      <c r="C141" s="23" t="s">
        <v>200</v>
      </c>
      <c r="D141" s="23" t="s">
        <v>190</v>
      </c>
      <c r="E141" s="23">
        <v>80</v>
      </c>
      <c r="F141" s="23">
        <v>95</v>
      </c>
      <c r="G141" s="23">
        <v>175</v>
      </c>
    </row>
    <row r="142" spans="1:7" x14ac:dyDescent="0.25">
      <c r="A142" s="23">
        <v>2021</v>
      </c>
      <c r="B142" s="23" t="s">
        <v>187</v>
      </c>
      <c r="C142" s="23" t="s">
        <v>201</v>
      </c>
      <c r="D142" s="23" t="s">
        <v>188</v>
      </c>
      <c r="E142" s="23">
        <v>154</v>
      </c>
      <c r="F142" s="23">
        <v>34</v>
      </c>
      <c r="G142" s="23">
        <v>188</v>
      </c>
    </row>
    <row r="143" spans="1:7" x14ac:dyDescent="0.25">
      <c r="A143" s="23">
        <v>2021</v>
      </c>
      <c r="B143" s="23" t="s">
        <v>187</v>
      </c>
      <c r="C143" s="23" t="s">
        <v>201</v>
      </c>
      <c r="D143" s="23" t="s">
        <v>190</v>
      </c>
      <c r="E143" s="23">
        <v>228</v>
      </c>
      <c r="F143" s="23">
        <v>54</v>
      </c>
      <c r="G143" s="23">
        <v>282</v>
      </c>
    </row>
    <row r="144" spans="1:7" x14ac:dyDescent="0.25">
      <c r="A144" s="23">
        <v>2021</v>
      </c>
      <c r="B144" s="23" t="s">
        <v>187</v>
      </c>
      <c r="C144" s="23" t="s">
        <v>202</v>
      </c>
      <c r="D144" s="23" t="s">
        <v>188</v>
      </c>
      <c r="E144" s="23">
        <v>198</v>
      </c>
      <c r="F144" s="23">
        <v>39</v>
      </c>
      <c r="G144" s="23">
        <v>237</v>
      </c>
    </row>
    <row r="145" spans="1:7" x14ac:dyDescent="0.25">
      <c r="A145" s="23">
        <v>2021</v>
      </c>
      <c r="B145" s="23" t="s">
        <v>187</v>
      </c>
      <c r="C145" s="23" t="s">
        <v>202</v>
      </c>
      <c r="D145" s="23" t="s">
        <v>190</v>
      </c>
      <c r="E145" s="23">
        <v>204</v>
      </c>
      <c r="F145" s="23">
        <v>105</v>
      </c>
      <c r="G145" s="23">
        <v>309</v>
      </c>
    </row>
    <row r="146" spans="1:7" x14ac:dyDescent="0.25">
      <c r="A146" s="23">
        <v>2021</v>
      </c>
      <c r="B146" s="23" t="s">
        <v>189</v>
      </c>
      <c r="C146" s="23" t="s">
        <v>181</v>
      </c>
      <c r="D146" s="23" t="s">
        <v>188</v>
      </c>
      <c r="E146" s="23">
        <v>240</v>
      </c>
      <c r="F146" s="23">
        <v>40</v>
      </c>
      <c r="G146" s="23">
        <v>280</v>
      </c>
    </row>
    <row r="147" spans="1:7" x14ac:dyDescent="0.25">
      <c r="A147" s="23">
        <v>2021</v>
      </c>
      <c r="B147" s="23" t="s">
        <v>189</v>
      </c>
      <c r="C147" s="23" t="s">
        <v>181</v>
      </c>
      <c r="D147" s="23" t="s">
        <v>190</v>
      </c>
      <c r="E147" s="23">
        <v>70</v>
      </c>
      <c r="F147" s="23">
        <v>81</v>
      </c>
      <c r="G147" s="23">
        <v>151</v>
      </c>
    </row>
    <row r="148" spans="1:7" x14ac:dyDescent="0.25">
      <c r="A148" s="23">
        <v>2021</v>
      </c>
      <c r="B148" s="23" t="s">
        <v>189</v>
      </c>
      <c r="C148" s="23" t="s">
        <v>182</v>
      </c>
      <c r="D148" s="23" t="s">
        <v>188</v>
      </c>
      <c r="E148" s="23">
        <v>204</v>
      </c>
      <c r="F148" s="23">
        <v>109</v>
      </c>
      <c r="G148" s="23">
        <v>313</v>
      </c>
    </row>
    <row r="149" spans="1:7" x14ac:dyDescent="0.25">
      <c r="A149" s="23">
        <v>2021</v>
      </c>
      <c r="B149" s="23" t="s">
        <v>189</v>
      </c>
      <c r="C149" s="23" t="s">
        <v>182</v>
      </c>
      <c r="D149" s="23" t="s">
        <v>190</v>
      </c>
      <c r="E149" s="23">
        <v>165</v>
      </c>
      <c r="F149" s="23">
        <v>87</v>
      </c>
      <c r="G149" s="23">
        <v>252</v>
      </c>
    </row>
    <row r="150" spans="1:7" x14ac:dyDescent="0.25">
      <c r="A150" s="23">
        <v>2021</v>
      </c>
      <c r="B150" s="23" t="s">
        <v>189</v>
      </c>
      <c r="C150" s="23" t="s">
        <v>197</v>
      </c>
      <c r="D150" s="23" t="s">
        <v>188</v>
      </c>
      <c r="E150" s="23">
        <v>138</v>
      </c>
      <c r="F150" s="23">
        <v>67</v>
      </c>
      <c r="G150" s="23">
        <v>205</v>
      </c>
    </row>
    <row r="151" spans="1:7" x14ac:dyDescent="0.25">
      <c r="A151" s="23">
        <v>2021</v>
      </c>
      <c r="B151" s="23" t="s">
        <v>189</v>
      </c>
      <c r="C151" s="23" t="s">
        <v>197</v>
      </c>
      <c r="D151" s="23" t="s">
        <v>190</v>
      </c>
      <c r="E151" s="23">
        <v>107</v>
      </c>
      <c r="F151" s="23">
        <v>41</v>
      </c>
      <c r="G151" s="23">
        <v>148</v>
      </c>
    </row>
    <row r="152" spans="1:7" x14ac:dyDescent="0.25">
      <c r="A152" s="23">
        <v>2021</v>
      </c>
      <c r="B152" s="23" t="s">
        <v>189</v>
      </c>
      <c r="C152" s="23" t="s">
        <v>198</v>
      </c>
      <c r="D152" s="23" t="s">
        <v>188</v>
      </c>
      <c r="E152" s="23">
        <v>199</v>
      </c>
      <c r="F152" s="23">
        <v>74</v>
      </c>
      <c r="G152" s="23">
        <v>273</v>
      </c>
    </row>
    <row r="153" spans="1:7" x14ac:dyDescent="0.25">
      <c r="A153" s="23">
        <v>2021</v>
      </c>
      <c r="B153" s="23" t="s">
        <v>189</v>
      </c>
      <c r="C153" s="23" t="s">
        <v>198</v>
      </c>
      <c r="D153" s="23" t="s">
        <v>190</v>
      </c>
      <c r="E153" s="23">
        <v>231</v>
      </c>
      <c r="F153" s="23">
        <v>80</v>
      </c>
      <c r="G153" s="23">
        <v>311</v>
      </c>
    </row>
    <row r="154" spans="1:7" x14ac:dyDescent="0.25">
      <c r="A154" s="23">
        <v>2021</v>
      </c>
      <c r="B154" s="23" t="s">
        <v>189</v>
      </c>
      <c r="C154" s="23" t="s">
        <v>199</v>
      </c>
      <c r="D154" s="23" t="s">
        <v>188</v>
      </c>
      <c r="E154" s="23">
        <v>175</v>
      </c>
      <c r="F154" s="23">
        <v>70</v>
      </c>
      <c r="G154" s="23">
        <v>245</v>
      </c>
    </row>
    <row r="155" spans="1:7" x14ac:dyDescent="0.25">
      <c r="A155" s="23">
        <v>2021</v>
      </c>
      <c r="B155" s="23" t="s">
        <v>189</v>
      </c>
      <c r="C155" s="23" t="s">
        <v>199</v>
      </c>
      <c r="D155" s="23" t="s">
        <v>190</v>
      </c>
      <c r="E155" s="23">
        <v>81</v>
      </c>
      <c r="F155" s="23">
        <v>57</v>
      </c>
      <c r="G155" s="23">
        <v>138</v>
      </c>
    </row>
    <row r="156" spans="1:7" x14ac:dyDescent="0.25">
      <c r="A156" s="23">
        <v>2021</v>
      </c>
      <c r="B156" s="23" t="s">
        <v>189</v>
      </c>
      <c r="C156" s="23" t="s">
        <v>200</v>
      </c>
      <c r="D156" s="23" t="s">
        <v>188</v>
      </c>
      <c r="E156" s="23">
        <v>201</v>
      </c>
      <c r="F156" s="23">
        <v>44</v>
      </c>
      <c r="G156" s="23">
        <v>245</v>
      </c>
    </row>
    <row r="157" spans="1:7" x14ac:dyDescent="0.25">
      <c r="A157" s="23">
        <v>2021</v>
      </c>
      <c r="B157" s="23" t="s">
        <v>189</v>
      </c>
      <c r="C157" s="23" t="s">
        <v>200</v>
      </c>
      <c r="D157" s="23" t="s">
        <v>190</v>
      </c>
      <c r="E157" s="23">
        <v>87</v>
      </c>
      <c r="F157" s="23">
        <v>103</v>
      </c>
      <c r="G157" s="23">
        <v>190</v>
      </c>
    </row>
    <row r="158" spans="1:7" x14ac:dyDescent="0.25">
      <c r="A158" s="23">
        <v>2021</v>
      </c>
      <c r="B158" s="23" t="s">
        <v>189</v>
      </c>
      <c r="C158" s="23" t="s">
        <v>201</v>
      </c>
      <c r="D158" s="23" t="s">
        <v>188</v>
      </c>
      <c r="E158" s="23">
        <v>205</v>
      </c>
      <c r="F158" s="23">
        <v>54</v>
      </c>
      <c r="G158" s="23">
        <v>259</v>
      </c>
    </row>
    <row r="159" spans="1:7" x14ac:dyDescent="0.25">
      <c r="A159" s="23">
        <v>2021</v>
      </c>
      <c r="B159" s="23" t="s">
        <v>189</v>
      </c>
      <c r="C159" s="23" t="s">
        <v>201</v>
      </c>
      <c r="D159" s="23" t="s">
        <v>190</v>
      </c>
      <c r="E159" s="23">
        <v>191</v>
      </c>
      <c r="F159" s="23">
        <v>54</v>
      </c>
      <c r="G159" s="23">
        <v>245</v>
      </c>
    </row>
    <row r="160" spans="1:7" x14ac:dyDescent="0.25">
      <c r="A160" s="23">
        <v>2021</v>
      </c>
      <c r="B160" s="23" t="s">
        <v>189</v>
      </c>
      <c r="C160" s="23" t="s">
        <v>202</v>
      </c>
      <c r="D160" s="23" t="s">
        <v>188</v>
      </c>
      <c r="E160" s="23">
        <v>146</v>
      </c>
      <c r="F160" s="23">
        <v>80</v>
      </c>
      <c r="G160" s="23">
        <v>226</v>
      </c>
    </row>
    <row r="161" spans="1:7" x14ac:dyDescent="0.25">
      <c r="A161" s="23">
        <v>2021</v>
      </c>
      <c r="B161" s="23" t="s">
        <v>189</v>
      </c>
      <c r="C161" s="23" t="s">
        <v>202</v>
      </c>
      <c r="D161" s="23" t="s">
        <v>190</v>
      </c>
      <c r="E161" s="23">
        <v>46</v>
      </c>
      <c r="F161" s="23">
        <v>44</v>
      </c>
      <c r="G161" s="23">
        <v>90</v>
      </c>
    </row>
    <row r="162" spans="1:7" x14ac:dyDescent="0.25">
      <c r="A162" s="23">
        <v>2021</v>
      </c>
      <c r="B162" s="23" t="s">
        <v>191</v>
      </c>
      <c r="C162" s="23" t="s">
        <v>181</v>
      </c>
      <c r="D162" s="23" t="s">
        <v>188</v>
      </c>
      <c r="E162" s="23">
        <v>92</v>
      </c>
      <c r="F162" s="23">
        <v>70</v>
      </c>
      <c r="G162" s="23">
        <v>162</v>
      </c>
    </row>
    <row r="163" spans="1:7" x14ac:dyDescent="0.25">
      <c r="A163" s="23">
        <v>2021</v>
      </c>
      <c r="B163" s="23" t="s">
        <v>191</v>
      </c>
      <c r="C163" s="23" t="s">
        <v>181</v>
      </c>
      <c r="D163" s="23" t="s">
        <v>190</v>
      </c>
      <c r="E163" s="23">
        <v>66</v>
      </c>
      <c r="F163" s="23">
        <v>57</v>
      </c>
      <c r="G163" s="23">
        <v>123</v>
      </c>
    </row>
    <row r="164" spans="1:7" x14ac:dyDescent="0.25">
      <c r="A164" s="23">
        <v>2021</v>
      </c>
      <c r="B164" s="23" t="s">
        <v>191</v>
      </c>
      <c r="C164" s="23" t="s">
        <v>182</v>
      </c>
      <c r="D164" s="23" t="s">
        <v>188</v>
      </c>
      <c r="E164" s="23">
        <v>82</v>
      </c>
      <c r="F164" s="23">
        <v>38</v>
      </c>
      <c r="G164" s="23">
        <v>120</v>
      </c>
    </row>
    <row r="165" spans="1:7" x14ac:dyDescent="0.25">
      <c r="A165" s="23">
        <v>2021</v>
      </c>
      <c r="B165" s="23" t="s">
        <v>191</v>
      </c>
      <c r="C165" s="23" t="s">
        <v>182</v>
      </c>
      <c r="D165" s="23" t="s">
        <v>190</v>
      </c>
      <c r="E165" s="23">
        <v>159</v>
      </c>
      <c r="F165" s="23">
        <v>47</v>
      </c>
      <c r="G165" s="23">
        <v>206</v>
      </c>
    </row>
    <row r="166" spans="1:7" x14ac:dyDescent="0.25">
      <c r="A166" s="23">
        <v>2021</v>
      </c>
      <c r="B166" s="23" t="s">
        <v>191</v>
      </c>
      <c r="C166" s="23" t="s">
        <v>197</v>
      </c>
      <c r="D166" s="23" t="s">
        <v>188</v>
      </c>
      <c r="E166" s="23">
        <v>128</v>
      </c>
      <c r="F166" s="23">
        <v>107</v>
      </c>
      <c r="G166" s="23">
        <v>235</v>
      </c>
    </row>
    <row r="167" spans="1:7" x14ac:dyDescent="0.25">
      <c r="A167" s="23">
        <v>2021</v>
      </c>
      <c r="B167" s="23" t="s">
        <v>191</v>
      </c>
      <c r="C167" s="23" t="s">
        <v>197</v>
      </c>
      <c r="D167" s="23" t="s">
        <v>190</v>
      </c>
      <c r="E167" s="23">
        <v>56</v>
      </c>
      <c r="F167" s="23">
        <v>100</v>
      </c>
      <c r="G167" s="23">
        <v>156</v>
      </c>
    </row>
    <row r="168" spans="1:7" x14ac:dyDescent="0.25">
      <c r="A168" s="23">
        <v>2021</v>
      </c>
      <c r="B168" s="23" t="s">
        <v>191</v>
      </c>
      <c r="C168" s="23" t="s">
        <v>198</v>
      </c>
      <c r="D168" s="23" t="s">
        <v>188</v>
      </c>
      <c r="E168" s="23">
        <v>80</v>
      </c>
      <c r="F168" s="23">
        <v>103</v>
      </c>
      <c r="G168" s="23">
        <v>183</v>
      </c>
    </row>
    <row r="169" spans="1:7" x14ac:dyDescent="0.25">
      <c r="A169" s="23">
        <v>2021</v>
      </c>
      <c r="B169" s="23" t="s">
        <v>191</v>
      </c>
      <c r="C169" s="23" t="s">
        <v>198</v>
      </c>
      <c r="D169" s="23" t="s">
        <v>190</v>
      </c>
      <c r="E169" s="23">
        <v>95</v>
      </c>
      <c r="F169" s="23">
        <v>66</v>
      </c>
      <c r="G169" s="23">
        <v>161</v>
      </c>
    </row>
    <row r="170" spans="1:7" x14ac:dyDescent="0.25">
      <c r="A170" s="23">
        <v>2021</v>
      </c>
      <c r="B170" s="23" t="s">
        <v>191</v>
      </c>
      <c r="C170" s="23" t="s">
        <v>199</v>
      </c>
      <c r="D170" s="23" t="s">
        <v>188</v>
      </c>
      <c r="E170" s="23">
        <v>48</v>
      </c>
      <c r="F170" s="23">
        <v>75</v>
      </c>
      <c r="G170" s="23">
        <v>123</v>
      </c>
    </row>
    <row r="171" spans="1:7" x14ac:dyDescent="0.25">
      <c r="A171" s="23">
        <v>2021</v>
      </c>
      <c r="B171" s="23" t="s">
        <v>191</v>
      </c>
      <c r="C171" s="23" t="s">
        <v>199</v>
      </c>
      <c r="D171" s="23" t="s">
        <v>190</v>
      </c>
      <c r="E171" s="23">
        <v>234</v>
      </c>
      <c r="F171" s="23">
        <v>58</v>
      </c>
      <c r="G171" s="23">
        <v>292</v>
      </c>
    </row>
    <row r="172" spans="1:7" x14ac:dyDescent="0.25">
      <c r="A172" s="23">
        <v>2021</v>
      </c>
      <c r="B172" s="23" t="s">
        <v>191</v>
      </c>
      <c r="C172" s="23" t="s">
        <v>200</v>
      </c>
      <c r="D172" s="23" t="s">
        <v>188</v>
      </c>
      <c r="E172" s="23">
        <v>112</v>
      </c>
      <c r="F172" s="23">
        <v>20</v>
      </c>
      <c r="G172" s="23">
        <v>132</v>
      </c>
    </row>
    <row r="173" spans="1:7" x14ac:dyDescent="0.25">
      <c r="A173" s="23">
        <v>2021</v>
      </c>
      <c r="B173" s="23" t="s">
        <v>191</v>
      </c>
      <c r="C173" s="23" t="s">
        <v>200</v>
      </c>
      <c r="D173" s="23" t="s">
        <v>190</v>
      </c>
      <c r="E173" s="23">
        <v>58</v>
      </c>
      <c r="F173" s="23">
        <v>101</v>
      </c>
      <c r="G173" s="23">
        <v>159</v>
      </c>
    </row>
    <row r="174" spans="1:7" x14ac:dyDescent="0.25">
      <c r="A174" s="23">
        <v>2021</v>
      </c>
      <c r="B174" s="23" t="s">
        <v>191</v>
      </c>
      <c r="C174" s="23" t="s">
        <v>201</v>
      </c>
      <c r="D174" s="23" t="s">
        <v>188</v>
      </c>
      <c r="E174" s="23">
        <v>158</v>
      </c>
      <c r="F174" s="23">
        <v>43</v>
      </c>
      <c r="G174" s="23">
        <v>201</v>
      </c>
    </row>
    <row r="175" spans="1:7" x14ac:dyDescent="0.25">
      <c r="A175" s="23">
        <v>2021</v>
      </c>
      <c r="B175" s="23" t="s">
        <v>191</v>
      </c>
      <c r="C175" s="23" t="s">
        <v>201</v>
      </c>
      <c r="D175" s="23" t="s">
        <v>190</v>
      </c>
      <c r="E175" s="23">
        <v>220</v>
      </c>
      <c r="F175" s="23">
        <v>109</v>
      </c>
      <c r="G175" s="23">
        <v>329</v>
      </c>
    </row>
    <row r="176" spans="1:7" x14ac:dyDescent="0.25">
      <c r="A176" s="23">
        <v>2021</v>
      </c>
      <c r="B176" s="23" t="s">
        <v>191</v>
      </c>
      <c r="C176" s="23" t="s">
        <v>202</v>
      </c>
      <c r="D176" s="23" t="s">
        <v>188</v>
      </c>
      <c r="E176" s="23">
        <v>163</v>
      </c>
      <c r="F176" s="23">
        <v>83</v>
      </c>
      <c r="G176" s="23">
        <v>246</v>
      </c>
    </row>
    <row r="177" spans="1:7" x14ac:dyDescent="0.25">
      <c r="A177" s="23">
        <v>2021</v>
      </c>
      <c r="B177" s="23" t="s">
        <v>191</v>
      </c>
      <c r="C177" s="23" t="s">
        <v>202</v>
      </c>
      <c r="D177" s="23" t="s">
        <v>190</v>
      </c>
      <c r="E177" s="23">
        <v>259</v>
      </c>
      <c r="F177" s="23">
        <v>89</v>
      </c>
      <c r="G177" s="23">
        <v>348</v>
      </c>
    </row>
    <row r="178" spans="1:7" x14ac:dyDescent="0.25">
      <c r="A178" s="23">
        <v>2021</v>
      </c>
      <c r="B178" s="23" t="s">
        <v>193</v>
      </c>
      <c r="C178" s="23" t="s">
        <v>181</v>
      </c>
      <c r="D178" s="23" t="s">
        <v>188</v>
      </c>
      <c r="E178" s="23">
        <v>105</v>
      </c>
      <c r="F178" s="23">
        <v>27</v>
      </c>
      <c r="G178" s="23">
        <v>132</v>
      </c>
    </row>
    <row r="179" spans="1:7" x14ac:dyDescent="0.25">
      <c r="A179" s="23">
        <v>2021</v>
      </c>
      <c r="B179" s="23" t="s">
        <v>193</v>
      </c>
      <c r="C179" s="23" t="s">
        <v>181</v>
      </c>
      <c r="D179" s="23" t="s">
        <v>190</v>
      </c>
      <c r="E179" s="23">
        <v>180</v>
      </c>
      <c r="F179" s="23">
        <v>71</v>
      </c>
      <c r="G179" s="23">
        <v>251</v>
      </c>
    </row>
    <row r="180" spans="1:7" x14ac:dyDescent="0.25">
      <c r="A180" s="23">
        <v>2021</v>
      </c>
      <c r="B180" s="23" t="s">
        <v>193</v>
      </c>
      <c r="C180" s="23" t="s">
        <v>182</v>
      </c>
      <c r="D180" s="23" t="s">
        <v>188</v>
      </c>
      <c r="E180" s="23">
        <v>68</v>
      </c>
      <c r="F180" s="23">
        <v>56</v>
      </c>
      <c r="G180" s="23">
        <v>124</v>
      </c>
    </row>
    <row r="181" spans="1:7" x14ac:dyDescent="0.25">
      <c r="A181" s="23">
        <v>2021</v>
      </c>
      <c r="B181" s="23" t="s">
        <v>193</v>
      </c>
      <c r="C181" s="23" t="s">
        <v>182</v>
      </c>
      <c r="D181" s="23" t="s">
        <v>190</v>
      </c>
      <c r="E181" s="23">
        <v>142</v>
      </c>
      <c r="F181" s="23">
        <v>88</v>
      </c>
      <c r="G181" s="23">
        <v>230</v>
      </c>
    </row>
    <row r="182" spans="1:7" x14ac:dyDescent="0.25">
      <c r="A182" s="23">
        <v>2021</v>
      </c>
      <c r="B182" s="23" t="s">
        <v>193</v>
      </c>
      <c r="C182" s="23" t="s">
        <v>197</v>
      </c>
      <c r="D182" s="23" t="s">
        <v>188</v>
      </c>
      <c r="E182" s="23">
        <v>250</v>
      </c>
      <c r="F182" s="23">
        <v>98</v>
      </c>
      <c r="G182" s="23">
        <v>348</v>
      </c>
    </row>
    <row r="183" spans="1:7" x14ac:dyDescent="0.25">
      <c r="A183" s="23">
        <v>2021</v>
      </c>
      <c r="B183" s="23" t="s">
        <v>193</v>
      </c>
      <c r="C183" s="23" t="s">
        <v>197</v>
      </c>
      <c r="D183" s="23" t="s">
        <v>190</v>
      </c>
      <c r="E183" s="23">
        <v>111</v>
      </c>
      <c r="F183" s="23">
        <v>68</v>
      </c>
      <c r="G183" s="23">
        <v>179</v>
      </c>
    </row>
    <row r="184" spans="1:7" x14ac:dyDescent="0.25">
      <c r="A184" s="23">
        <v>2021</v>
      </c>
      <c r="B184" s="23" t="s">
        <v>193</v>
      </c>
      <c r="C184" s="23" t="s">
        <v>198</v>
      </c>
      <c r="D184" s="23" t="s">
        <v>188</v>
      </c>
      <c r="E184" s="23">
        <v>239</v>
      </c>
      <c r="F184" s="23">
        <v>27</v>
      </c>
      <c r="G184" s="23">
        <v>266</v>
      </c>
    </row>
    <row r="185" spans="1:7" x14ac:dyDescent="0.25">
      <c r="A185" s="23">
        <v>2021</v>
      </c>
      <c r="B185" s="23" t="s">
        <v>193</v>
      </c>
      <c r="C185" s="23" t="s">
        <v>198</v>
      </c>
      <c r="D185" s="23" t="s">
        <v>190</v>
      </c>
      <c r="E185" s="23">
        <v>95</v>
      </c>
      <c r="F185" s="23">
        <v>99</v>
      </c>
      <c r="G185" s="23">
        <v>194</v>
      </c>
    </row>
    <row r="186" spans="1:7" x14ac:dyDescent="0.25">
      <c r="A186" s="23">
        <v>2021</v>
      </c>
      <c r="B186" s="23" t="s">
        <v>193</v>
      </c>
      <c r="C186" s="23" t="s">
        <v>199</v>
      </c>
      <c r="D186" s="23" t="s">
        <v>188</v>
      </c>
      <c r="E186" s="23">
        <v>86</v>
      </c>
      <c r="F186" s="23">
        <v>107</v>
      </c>
      <c r="G186" s="23">
        <v>193</v>
      </c>
    </row>
    <row r="187" spans="1:7" x14ac:dyDescent="0.25">
      <c r="A187" s="23">
        <v>2021</v>
      </c>
      <c r="B187" s="23" t="s">
        <v>193</v>
      </c>
      <c r="C187" s="23" t="s">
        <v>199</v>
      </c>
      <c r="D187" s="23" t="s">
        <v>190</v>
      </c>
      <c r="E187" s="23">
        <v>194</v>
      </c>
      <c r="F187" s="23">
        <v>69</v>
      </c>
      <c r="G187" s="23">
        <v>263</v>
      </c>
    </row>
    <row r="188" spans="1:7" x14ac:dyDescent="0.25">
      <c r="A188" s="23">
        <v>2021</v>
      </c>
      <c r="B188" s="23" t="s">
        <v>193</v>
      </c>
      <c r="C188" s="23" t="s">
        <v>200</v>
      </c>
      <c r="D188" s="23" t="s">
        <v>188</v>
      </c>
      <c r="E188" s="23">
        <v>147</v>
      </c>
      <c r="F188" s="23">
        <v>62</v>
      </c>
      <c r="G188" s="23">
        <v>209</v>
      </c>
    </row>
    <row r="189" spans="1:7" x14ac:dyDescent="0.25">
      <c r="A189" s="23">
        <v>2021</v>
      </c>
      <c r="B189" s="23" t="s">
        <v>193</v>
      </c>
      <c r="C189" s="23" t="s">
        <v>200</v>
      </c>
      <c r="D189" s="23" t="s">
        <v>190</v>
      </c>
      <c r="E189" s="23">
        <v>239</v>
      </c>
      <c r="F189" s="23">
        <v>52</v>
      </c>
      <c r="G189" s="23">
        <v>291</v>
      </c>
    </row>
    <row r="190" spans="1:7" x14ac:dyDescent="0.25">
      <c r="A190" s="23">
        <v>2021</v>
      </c>
      <c r="B190" s="23" t="s">
        <v>193</v>
      </c>
      <c r="C190" s="23" t="s">
        <v>201</v>
      </c>
      <c r="D190" s="23" t="s">
        <v>188</v>
      </c>
      <c r="E190" s="23">
        <v>140</v>
      </c>
      <c r="F190" s="23">
        <v>88</v>
      </c>
      <c r="G190" s="23">
        <v>228</v>
      </c>
    </row>
    <row r="191" spans="1:7" x14ac:dyDescent="0.25">
      <c r="A191" s="23">
        <v>2021</v>
      </c>
      <c r="B191" s="23" t="s">
        <v>193</v>
      </c>
      <c r="C191" s="23" t="s">
        <v>201</v>
      </c>
      <c r="D191" s="23" t="s">
        <v>190</v>
      </c>
      <c r="E191" s="23">
        <v>241</v>
      </c>
      <c r="F191" s="23">
        <v>103</v>
      </c>
      <c r="G191" s="23">
        <v>344</v>
      </c>
    </row>
    <row r="192" spans="1:7" x14ac:dyDescent="0.25">
      <c r="A192" s="23">
        <v>2021</v>
      </c>
      <c r="B192" s="23" t="s">
        <v>193</v>
      </c>
      <c r="C192" s="23" t="s">
        <v>202</v>
      </c>
      <c r="D192" s="23" t="s">
        <v>188</v>
      </c>
      <c r="E192" s="23">
        <v>206</v>
      </c>
      <c r="F192" s="23">
        <v>82</v>
      </c>
      <c r="G192" s="23">
        <v>288</v>
      </c>
    </row>
    <row r="193" spans="1:7" x14ac:dyDescent="0.25">
      <c r="A193" s="23">
        <v>2021</v>
      </c>
      <c r="B193" s="23" t="s">
        <v>193</v>
      </c>
      <c r="C193" s="23" t="s">
        <v>202</v>
      </c>
      <c r="D193" s="23" t="s">
        <v>190</v>
      </c>
      <c r="E193" s="23">
        <v>131</v>
      </c>
      <c r="F193" s="23">
        <v>94</v>
      </c>
      <c r="G193" s="23">
        <v>225</v>
      </c>
    </row>
    <row r="194" spans="1:7" x14ac:dyDescent="0.25">
      <c r="A194" s="23">
        <v>2021</v>
      </c>
      <c r="B194" s="23" t="s">
        <v>192</v>
      </c>
      <c r="C194" s="23" t="s">
        <v>181</v>
      </c>
      <c r="D194" s="23" t="s">
        <v>188</v>
      </c>
      <c r="E194" s="23">
        <v>66</v>
      </c>
      <c r="F194" s="23">
        <v>79</v>
      </c>
      <c r="G194" s="23">
        <v>145</v>
      </c>
    </row>
    <row r="195" spans="1:7" x14ac:dyDescent="0.25">
      <c r="A195" s="23">
        <v>2021</v>
      </c>
      <c r="B195" s="23" t="s">
        <v>192</v>
      </c>
      <c r="C195" s="23" t="s">
        <v>181</v>
      </c>
      <c r="D195" s="23" t="s">
        <v>190</v>
      </c>
      <c r="E195" s="23">
        <v>205</v>
      </c>
      <c r="F195" s="23">
        <v>96</v>
      </c>
      <c r="G195" s="23">
        <v>301</v>
      </c>
    </row>
    <row r="196" spans="1:7" x14ac:dyDescent="0.25">
      <c r="A196" s="23">
        <v>2021</v>
      </c>
      <c r="B196" s="23" t="s">
        <v>192</v>
      </c>
      <c r="C196" s="23" t="s">
        <v>182</v>
      </c>
      <c r="D196" s="23" t="s">
        <v>188</v>
      </c>
      <c r="E196" s="23">
        <v>113</v>
      </c>
      <c r="F196" s="23">
        <v>103</v>
      </c>
      <c r="G196" s="23">
        <v>216</v>
      </c>
    </row>
    <row r="197" spans="1:7" x14ac:dyDescent="0.25">
      <c r="A197" s="23">
        <v>2021</v>
      </c>
      <c r="B197" s="23" t="s">
        <v>192</v>
      </c>
      <c r="C197" s="23" t="s">
        <v>182</v>
      </c>
      <c r="D197" s="23" t="s">
        <v>190</v>
      </c>
      <c r="E197" s="23">
        <v>86</v>
      </c>
      <c r="F197" s="23">
        <v>104</v>
      </c>
      <c r="G197" s="23">
        <v>190</v>
      </c>
    </row>
    <row r="198" spans="1:7" x14ac:dyDescent="0.25">
      <c r="A198" s="23">
        <v>2021</v>
      </c>
      <c r="B198" s="23" t="s">
        <v>192</v>
      </c>
      <c r="C198" s="23" t="s">
        <v>197</v>
      </c>
      <c r="D198" s="23" t="s">
        <v>188</v>
      </c>
      <c r="E198" s="23">
        <v>74</v>
      </c>
      <c r="F198" s="23">
        <v>27</v>
      </c>
      <c r="G198" s="23">
        <v>101</v>
      </c>
    </row>
    <row r="199" spans="1:7" x14ac:dyDescent="0.25">
      <c r="A199" s="23">
        <v>2021</v>
      </c>
      <c r="B199" s="23" t="s">
        <v>192</v>
      </c>
      <c r="C199" s="23" t="s">
        <v>197</v>
      </c>
      <c r="D199" s="23" t="s">
        <v>190</v>
      </c>
      <c r="E199" s="23">
        <v>113</v>
      </c>
      <c r="F199" s="23">
        <v>17</v>
      </c>
      <c r="G199" s="23">
        <v>130</v>
      </c>
    </row>
    <row r="200" spans="1:7" x14ac:dyDescent="0.25">
      <c r="A200" s="23">
        <v>2021</v>
      </c>
      <c r="B200" s="23" t="s">
        <v>192</v>
      </c>
      <c r="C200" s="23" t="s">
        <v>198</v>
      </c>
      <c r="D200" s="23" t="s">
        <v>188</v>
      </c>
      <c r="E200" s="23">
        <v>155</v>
      </c>
      <c r="F200" s="23">
        <v>78</v>
      </c>
      <c r="G200" s="23">
        <v>233</v>
      </c>
    </row>
    <row r="201" spans="1:7" x14ac:dyDescent="0.25">
      <c r="A201" s="23">
        <v>2021</v>
      </c>
      <c r="B201" s="23" t="s">
        <v>192</v>
      </c>
      <c r="C201" s="23" t="s">
        <v>198</v>
      </c>
      <c r="D201" s="23" t="s">
        <v>190</v>
      </c>
      <c r="E201" s="23">
        <v>156</v>
      </c>
      <c r="F201" s="23">
        <v>54</v>
      </c>
      <c r="G201" s="23">
        <v>210</v>
      </c>
    </row>
    <row r="202" spans="1:7" x14ac:dyDescent="0.25">
      <c r="A202" s="23">
        <v>2021</v>
      </c>
      <c r="B202" s="23" t="s">
        <v>192</v>
      </c>
      <c r="C202" s="23" t="s">
        <v>199</v>
      </c>
      <c r="D202" s="23" t="s">
        <v>188</v>
      </c>
      <c r="E202" s="23">
        <v>236</v>
      </c>
      <c r="F202" s="23">
        <v>85</v>
      </c>
      <c r="G202" s="23">
        <v>321</v>
      </c>
    </row>
    <row r="203" spans="1:7" x14ac:dyDescent="0.25">
      <c r="A203" s="23">
        <v>2021</v>
      </c>
      <c r="B203" s="23" t="s">
        <v>192</v>
      </c>
      <c r="C203" s="23" t="s">
        <v>199</v>
      </c>
      <c r="D203" s="23" t="s">
        <v>190</v>
      </c>
      <c r="E203" s="23">
        <v>260</v>
      </c>
      <c r="F203" s="23">
        <v>33</v>
      </c>
      <c r="G203" s="23">
        <v>293</v>
      </c>
    </row>
    <row r="204" spans="1:7" x14ac:dyDescent="0.25">
      <c r="A204" s="23">
        <v>2021</v>
      </c>
      <c r="B204" s="23" t="s">
        <v>192</v>
      </c>
      <c r="C204" s="23" t="s">
        <v>200</v>
      </c>
      <c r="D204" s="23" t="s">
        <v>188</v>
      </c>
      <c r="E204" s="23">
        <v>80</v>
      </c>
      <c r="F204" s="23">
        <v>39</v>
      </c>
      <c r="G204" s="23">
        <v>119</v>
      </c>
    </row>
    <row r="205" spans="1:7" x14ac:dyDescent="0.25">
      <c r="A205" s="23">
        <v>2021</v>
      </c>
      <c r="B205" s="23" t="s">
        <v>192</v>
      </c>
      <c r="C205" s="23" t="s">
        <v>200</v>
      </c>
      <c r="D205" s="23" t="s">
        <v>190</v>
      </c>
      <c r="E205" s="23">
        <v>163</v>
      </c>
      <c r="F205" s="23">
        <v>22</v>
      </c>
      <c r="G205" s="23">
        <v>185</v>
      </c>
    </row>
    <row r="206" spans="1:7" x14ac:dyDescent="0.25">
      <c r="A206" s="23">
        <v>2021</v>
      </c>
      <c r="B206" s="23" t="s">
        <v>192</v>
      </c>
      <c r="C206" s="23" t="s">
        <v>201</v>
      </c>
      <c r="D206" s="23" t="s">
        <v>188</v>
      </c>
      <c r="E206" s="23">
        <v>76</v>
      </c>
      <c r="F206" s="23">
        <v>86</v>
      </c>
      <c r="G206" s="23">
        <v>162</v>
      </c>
    </row>
    <row r="207" spans="1:7" x14ac:dyDescent="0.25">
      <c r="A207" s="23">
        <v>2021</v>
      </c>
      <c r="B207" s="23" t="s">
        <v>192</v>
      </c>
      <c r="C207" s="23" t="s">
        <v>201</v>
      </c>
      <c r="D207" s="23" t="s">
        <v>190</v>
      </c>
      <c r="E207" s="23">
        <v>235</v>
      </c>
      <c r="F207" s="23">
        <v>17</v>
      </c>
      <c r="G207" s="23">
        <v>252</v>
      </c>
    </row>
    <row r="208" spans="1:7" x14ac:dyDescent="0.25">
      <c r="A208" s="23">
        <v>2021</v>
      </c>
      <c r="B208" s="23" t="s">
        <v>192</v>
      </c>
      <c r="C208" s="23" t="s">
        <v>202</v>
      </c>
      <c r="D208" s="23" t="s">
        <v>188</v>
      </c>
      <c r="E208" s="23">
        <v>120</v>
      </c>
      <c r="F208" s="23">
        <v>54</v>
      </c>
      <c r="G208" s="23">
        <v>174</v>
      </c>
    </row>
    <row r="209" spans="1:7" x14ac:dyDescent="0.25">
      <c r="A209" s="23">
        <v>2021</v>
      </c>
      <c r="B209" s="23" t="s">
        <v>192</v>
      </c>
      <c r="C209" s="23" t="s">
        <v>202</v>
      </c>
      <c r="D209" s="23" t="s">
        <v>190</v>
      </c>
      <c r="E209" s="23">
        <v>236</v>
      </c>
      <c r="F209" s="23">
        <v>53</v>
      </c>
      <c r="G209" s="23">
        <v>289</v>
      </c>
    </row>
    <row r="210" spans="1:7" x14ac:dyDescent="0.25">
      <c r="A210" s="23">
        <v>2021</v>
      </c>
      <c r="B210" s="23" t="s">
        <v>196</v>
      </c>
      <c r="C210" s="23" t="s">
        <v>181</v>
      </c>
      <c r="D210" s="23" t="s">
        <v>188</v>
      </c>
      <c r="E210" s="23">
        <v>204</v>
      </c>
      <c r="F210" s="23">
        <v>39</v>
      </c>
      <c r="G210" s="23">
        <v>243</v>
      </c>
    </row>
    <row r="211" spans="1:7" x14ac:dyDescent="0.25">
      <c r="A211" s="23">
        <v>2021</v>
      </c>
      <c r="B211" s="23" t="s">
        <v>196</v>
      </c>
      <c r="C211" s="23" t="s">
        <v>181</v>
      </c>
      <c r="D211" s="23" t="s">
        <v>190</v>
      </c>
      <c r="E211" s="23">
        <v>176</v>
      </c>
      <c r="F211" s="23">
        <v>59</v>
      </c>
      <c r="G211" s="23">
        <v>235</v>
      </c>
    </row>
    <row r="212" spans="1:7" x14ac:dyDescent="0.25">
      <c r="A212" s="23">
        <v>2021</v>
      </c>
      <c r="B212" s="23" t="s">
        <v>196</v>
      </c>
      <c r="C212" s="23" t="s">
        <v>182</v>
      </c>
      <c r="D212" s="23" t="s">
        <v>188</v>
      </c>
      <c r="E212" s="23">
        <v>251</v>
      </c>
      <c r="F212" s="23">
        <v>36</v>
      </c>
      <c r="G212" s="23">
        <v>287</v>
      </c>
    </row>
    <row r="213" spans="1:7" x14ac:dyDescent="0.25">
      <c r="A213" s="23">
        <v>2021</v>
      </c>
      <c r="B213" s="23" t="s">
        <v>196</v>
      </c>
      <c r="C213" s="23" t="s">
        <v>182</v>
      </c>
      <c r="D213" s="23" t="s">
        <v>190</v>
      </c>
      <c r="E213" s="23">
        <v>215</v>
      </c>
      <c r="F213" s="23">
        <v>24</v>
      </c>
      <c r="G213" s="23">
        <v>239</v>
      </c>
    </row>
    <row r="214" spans="1:7" x14ac:dyDescent="0.25">
      <c r="A214" s="23">
        <v>2021</v>
      </c>
      <c r="B214" s="23" t="s">
        <v>196</v>
      </c>
      <c r="C214" s="23" t="s">
        <v>197</v>
      </c>
      <c r="D214" s="23" t="s">
        <v>188</v>
      </c>
      <c r="E214" s="23">
        <v>250</v>
      </c>
      <c r="F214" s="23">
        <v>78</v>
      </c>
      <c r="G214" s="23">
        <v>328</v>
      </c>
    </row>
    <row r="215" spans="1:7" x14ac:dyDescent="0.25">
      <c r="A215" s="23">
        <v>2021</v>
      </c>
      <c r="B215" s="23" t="s">
        <v>196</v>
      </c>
      <c r="C215" s="23" t="s">
        <v>197</v>
      </c>
      <c r="D215" s="23" t="s">
        <v>190</v>
      </c>
      <c r="E215" s="23">
        <v>101</v>
      </c>
      <c r="F215" s="23">
        <v>28</v>
      </c>
      <c r="G215" s="23">
        <v>129</v>
      </c>
    </row>
    <row r="216" spans="1:7" x14ac:dyDescent="0.25">
      <c r="A216" s="23">
        <v>2021</v>
      </c>
      <c r="B216" s="23" t="s">
        <v>196</v>
      </c>
      <c r="C216" s="23" t="s">
        <v>198</v>
      </c>
      <c r="D216" s="23" t="s">
        <v>188</v>
      </c>
      <c r="E216" s="23">
        <v>41</v>
      </c>
      <c r="F216" s="23">
        <v>24</v>
      </c>
      <c r="G216" s="23">
        <v>65</v>
      </c>
    </row>
    <row r="217" spans="1:7" x14ac:dyDescent="0.25">
      <c r="A217" s="23">
        <v>2021</v>
      </c>
      <c r="B217" s="23" t="s">
        <v>196</v>
      </c>
      <c r="C217" s="23" t="s">
        <v>198</v>
      </c>
      <c r="D217" s="23" t="s">
        <v>190</v>
      </c>
      <c r="E217" s="23">
        <v>224</v>
      </c>
      <c r="F217" s="23">
        <v>18</v>
      </c>
      <c r="G217" s="23">
        <v>242</v>
      </c>
    </row>
    <row r="218" spans="1:7" x14ac:dyDescent="0.25">
      <c r="A218" s="23">
        <v>2021</v>
      </c>
      <c r="B218" s="23" t="s">
        <v>196</v>
      </c>
      <c r="C218" s="23" t="s">
        <v>199</v>
      </c>
      <c r="D218" s="23" t="s">
        <v>188</v>
      </c>
      <c r="E218" s="23">
        <v>86</v>
      </c>
      <c r="F218" s="23">
        <v>14</v>
      </c>
      <c r="G218" s="23">
        <v>100</v>
      </c>
    </row>
    <row r="219" spans="1:7" x14ac:dyDescent="0.25">
      <c r="A219" s="23">
        <v>2021</v>
      </c>
      <c r="B219" s="23" t="s">
        <v>196</v>
      </c>
      <c r="C219" s="23" t="s">
        <v>199</v>
      </c>
      <c r="D219" s="23" t="s">
        <v>190</v>
      </c>
      <c r="E219" s="23">
        <v>178</v>
      </c>
      <c r="F219" s="23">
        <v>79</v>
      </c>
      <c r="G219" s="23">
        <v>257</v>
      </c>
    </row>
    <row r="220" spans="1:7" x14ac:dyDescent="0.25">
      <c r="A220" s="23">
        <v>2021</v>
      </c>
      <c r="B220" s="23" t="s">
        <v>196</v>
      </c>
      <c r="C220" s="23" t="s">
        <v>200</v>
      </c>
      <c r="D220" s="23" t="s">
        <v>188</v>
      </c>
      <c r="E220" s="23">
        <v>248</v>
      </c>
      <c r="F220" s="23">
        <v>70</v>
      </c>
      <c r="G220" s="23">
        <v>318</v>
      </c>
    </row>
    <row r="221" spans="1:7" x14ac:dyDescent="0.25">
      <c r="A221" s="23">
        <v>2021</v>
      </c>
      <c r="B221" s="23" t="s">
        <v>196</v>
      </c>
      <c r="C221" s="23" t="s">
        <v>200</v>
      </c>
      <c r="D221" s="23" t="s">
        <v>190</v>
      </c>
      <c r="E221" s="23">
        <v>227</v>
      </c>
      <c r="F221" s="23">
        <v>87</v>
      </c>
      <c r="G221" s="23">
        <v>314</v>
      </c>
    </row>
    <row r="222" spans="1:7" x14ac:dyDescent="0.25">
      <c r="A222" s="23">
        <v>2021</v>
      </c>
      <c r="B222" s="23" t="s">
        <v>196</v>
      </c>
      <c r="C222" s="23" t="s">
        <v>201</v>
      </c>
      <c r="D222" s="23" t="s">
        <v>188</v>
      </c>
      <c r="E222" s="23">
        <v>123</v>
      </c>
      <c r="F222" s="23">
        <v>22</v>
      </c>
      <c r="G222" s="23">
        <v>145</v>
      </c>
    </row>
    <row r="223" spans="1:7" x14ac:dyDescent="0.25">
      <c r="A223" s="23">
        <v>2021</v>
      </c>
      <c r="B223" s="23" t="s">
        <v>196</v>
      </c>
      <c r="C223" s="23" t="s">
        <v>201</v>
      </c>
      <c r="D223" s="23" t="s">
        <v>190</v>
      </c>
      <c r="E223" s="23">
        <v>81</v>
      </c>
      <c r="F223" s="23">
        <v>10</v>
      </c>
      <c r="G223" s="23">
        <v>91</v>
      </c>
    </row>
    <row r="224" spans="1:7" x14ac:dyDescent="0.25">
      <c r="A224" s="23">
        <v>2021</v>
      </c>
      <c r="B224" s="23" t="s">
        <v>196</v>
      </c>
      <c r="C224" s="23" t="s">
        <v>202</v>
      </c>
      <c r="D224" s="23" t="s">
        <v>188</v>
      </c>
      <c r="E224" s="23">
        <v>59</v>
      </c>
      <c r="F224" s="23">
        <v>92</v>
      </c>
      <c r="G224" s="23">
        <v>151</v>
      </c>
    </row>
    <row r="225" spans="1:7" x14ac:dyDescent="0.25">
      <c r="A225" s="23">
        <v>2021</v>
      </c>
      <c r="B225" s="23" t="s">
        <v>196</v>
      </c>
      <c r="C225" s="23" t="s">
        <v>202</v>
      </c>
      <c r="D225" s="23" t="s">
        <v>190</v>
      </c>
      <c r="E225" s="23">
        <v>125</v>
      </c>
      <c r="F225" s="23">
        <v>98</v>
      </c>
      <c r="G225" s="23">
        <v>223</v>
      </c>
    </row>
    <row r="226" spans="1:7" x14ac:dyDescent="0.25">
      <c r="A226" s="23">
        <v>2021</v>
      </c>
      <c r="B226" s="23" t="s">
        <v>194</v>
      </c>
      <c r="C226" s="23" t="s">
        <v>181</v>
      </c>
      <c r="D226" s="23" t="s">
        <v>188</v>
      </c>
      <c r="E226" s="23">
        <v>234</v>
      </c>
      <c r="F226" s="23">
        <v>42</v>
      </c>
      <c r="G226" s="23">
        <v>276</v>
      </c>
    </row>
    <row r="227" spans="1:7" x14ac:dyDescent="0.25">
      <c r="A227" s="23">
        <v>2021</v>
      </c>
      <c r="B227" s="23" t="s">
        <v>194</v>
      </c>
      <c r="C227" s="23" t="s">
        <v>181</v>
      </c>
      <c r="D227" s="23" t="s">
        <v>190</v>
      </c>
      <c r="E227" s="23">
        <v>173</v>
      </c>
      <c r="F227" s="23">
        <v>58</v>
      </c>
      <c r="G227" s="23">
        <v>231</v>
      </c>
    </row>
    <row r="228" spans="1:7" x14ac:dyDescent="0.25">
      <c r="A228" s="23">
        <v>2021</v>
      </c>
      <c r="B228" s="23" t="s">
        <v>194</v>
      </c>
      <c r="C228" s="23" t="s">
        <v>182</v>
      </c>
      <c r="D228" s="23" t="s">
        <v>188</v>
      </c>
      <c r="E228" s="23">
        <v>195</v>
      </c>
      <c r="F228" s="23">
        <v>66</v>
      </c>
      <c r="G228" s="23">
        <v>261</v>
      </c>
    </row>
    <row r="229" spans="1:7" x14ac:dyDescent="0.25">
      <c r="A229" s="23">
        <v>2021</v>
      </c>
      <c r="B229" s="23" t="s">
        <v>194</v>
      </c>
      <c r="C229" s="23" t="s">
        <v>182</v>
      </c>
      <c r="D229" s="23" t="s">
        <v>190</v>
      </c>
      <c r="E229" s="23">
        <v>171</v>
      </c>
      <c r="F229" s="23">
        <v>107</v>
      </c>
      <c r="G229" s="23">
        <v>278</v>
      </c>
    </row>
    <row r="230" spans="1:7" x14ac:dyDescent="0.25">
      <c r="A230" s="23">
        <v>2021</v>
      </c>
      <c r="B230" s="23" t="s">
        <v>194</v>
      </c>
      <c r="C230" s="23" t="s">
        <v>197</v>
      </c>
      <c r="D230" s="23" t="s">
        <v>188</v>
      </c>
      <c r="E230" s="23">
        <v>71</v>
      </c>
      <c r="F230" s="23">
        <v>22</v>
      </c>
      <c r="G230" s="23">
        <v>93</v>
      </c>
    </row>
    <row r="231" spans="1:7" x14ac:dyDescent="0.25">
      <c r="A231" s="23">
        <v>2021</v>
      </c>
      <c r="B231" s="23" t="s">
        <v>194</v>
      </c>
      <c r="C231" s="23" t="s">
        <v>197</v>
      </c>
      <c r="D231" s="23" t="s">
        <v>190</v>
      </c>
      <c r="E231" s="23">
        <v>248</v>
      </c>
      <c r="F231" s="23">
        <v>23</v>
      </c>
      <c r="G231" s="23">
        <v>271</v>
      </c>
    </row>
    <row r="232" spans="1:7" x14ac:dyDescent="0.25">
      <c r="A232" s="23">
        <v>2021</v>
      </c>
      <c r="B232" s="23" t="s">
        <v>194</v>
      </c>
      <c r="C232" s="23" t="s">
        <v>198</v>
      </c>
      <c r="D232" s="23" t="s">
        <v>188</v>
      </c>
      <c r="E232" s="23">
        <v>232</v>
      </c>
      <c r="F232" s="23">
        <v>29</v>
      </c>
      <c r="G232" s="23">
        <v>261</v>
      </c>
    </row>
    <row r="233" spans="1:7" x14ac:dyDescent="0.25">
      <c r="A233" s="23">
        <v>2021</v>
      </c>
      <c r="B233" s="23" t="s">
        <v>194</v>
      </c>
      <c r="C233" s="23" t="s">
        <v>198</v>
      </c>
      <c r="D233" s="23" t="s">
        <v>190</v>
      </c>
      <c r="E233" s="23">
        <v>168</v>
      </c>
      <c r="F233" s="23">
        <v>87</v>
      </c>
      <c r="G233" s="23">
        <v>255</v>
      </c>
    </row>
    <row r="234" spans="1:7" x14ac:dyDescent="0.25">
      <c r="A234" s="23">
        <v>2021</v>
      </c>
      <c r="B234" s="23" t="s">
        <v>194</v>
      </c>
      <c r="C234" s="23" t="s">
        <v>199</v>
      </c>
      <c r="D234" s="23" t="s">
        <v>188</v>
      </c>
      <c r="E234" s="23">
        <v>187</v>
      </c>
      <c r="F234" s="23">
        <v>79</v>
      </c>
      <c r="G234" s="23">
        <v>266</v>
      </c>
    </row>
    <row r="235" spans="1:7" x14ac:dyDescent="0.25">
      <c r="A235" s="23">
        <v>2021</v>
      </c>
      <c r="B235" s="23" t="s">
        <v>194</v>
      </c>
      <c r="C235" s="23" t="s">
        <v>199</v>
      </c>
      <c r="D235" s="23" t="s">
        <v>190</v>
      </c>
      <c r="E235" s="23">
        <v>56</v>
      </c>
      <c r="F235" s="23">
        <v>33</v>
      </c>
      <c r="G235" s="23">
        <v>89</v>
      </c>
    </row>
    <row r="236" spans="1:7" x14ac:dyDescent="0.25">
      <c r="A236" s="23">
        <v>2021</v>
      </c>
      <c r="B236" s="23" t="s">
        <v>194</v>
      </c>
      <c r="C236" s="23" t="s">
        <v>200</v>
      </c>
      <c r="D236" s="23" t="s">
        <v>188</v>
      </c>
      <c r="E236" s="23">
        <v>119</v>
      </c>
      <c r="F236" s="23">
        <v>13</v>
      </c>
      <c r="G236" s="23">
        <v>132</v>
      </c>
    </row>
    <row r="237" spans="1:7" x14ac:dyDescent="0.25">
      <c r="A237" s="23">
        <v>2021</v>
      </c>
      <c r="B237" s="23" t="s">
        <v>194</v>
      </c>
      <c r="C237" s="23" t="s">
        <v>200</v>
      </c>
      <c r="D237" s="23" t="s">
        <v>190</v>
      </c>
      <c r="E237" s="23">
        <v>256</v>
      </c>
      <c r="F237" s="23">
        <v>98</v>
      </c>
      <c r="G237" s="23">
        <v>354</v>
      </c>
    </row>
    <row r="238" spans="1:7" x14ac:dyDescent="0.25">
      <c r="A238" s="23">
        <v>2021</v>
      </c>
      <c r="B238" s="23" t="s">
        <v>194</v>
      </c>
      <c r="C238" s="23" t="s">
        <v>201</v>
      </c>
      <c r="D238" s="23" t="s">
        <v>188</v>
      </c>
      <c r="E238" s="23">
        <v>225</v>
      </c>
      <c r="F238" s="23">
        <v>60</v>
      </c>
      <c r="G238" s="23">
        <v>285</v>
      </c>
    </row>
    <row r="239" spans="1:7" x14ac:dyDescent="0.25">
      <c r="A239" s="23">
        <v>2021</v>
      </c>
      <c r="B239" s="23" t="s">
        <v>194</v>
      </c>
      <c r="C239" s="23" t="s">
        <v>201</v>
      </c>
      <c r="D239" s="23" t="s">
        <v>190</v>
      </c>
      <c r="E239" s="23">
        <v>212</v>
      </c>
      <c r="F239" s="23">
        <v>60</v>
      </c>
      <c r="G239" s="23">
        <v>272</v>
      </c>
    </row>
    <row r="240" spans="1:7" x14ac:dyDescent="0.25">
      <c r="A240" s="23">
        <v>2021</v>
      </c>
      <c r="B240" s="23" t="s">
        <v>194</v>
      </c>
      <c r="C240" s="23" t="s">
        <v>202</v>
      </c>
      <c r="D240" s="23" t="s">
        <v>188</v>
      </c>
      <c r="E240" s="23">
        <v>172</v>
      </c>
      <c r="F240" s="23">
        <v>101</v>
      </c>
      <c r="G240" s="23">
        <v>273</v>
      </c>
    </row>
    <row r="241" spans="1:7" x14ac:dyDescent="0.25">
      <c r="A241" s="23">
        <v>2021</v>
      </c>
      <c r="B241" s="23" t="s">
        <v>194</v>
      </c>
      <c r="C241" s="23" t="s">
        <v>202</v>
      </c>
      <c r="D241" s="23" t="s">
        <v>190</v>
      </c>
      <c r="E241" s="23">
        <v>89</v>
      </c>
      <c r="F241" s="23">
        <v>66</v>
      </c>
      <c r="G241" s="23">
        <v>155</v>
      </c>
    </row>
    <row r="242" spans="1:7" x14ac:dyDescent="0.25">
      <c r="A242" s="23">
        <v>2021</v>
      </c>
      <c r="B242" s="23" t="s">
        <v>195</v>
      </c>
      <c r="C242" s="23" t="s">
        <v>181</v>
      </c>
      <c r="D242" s="23" t="s">
        <v>188</v>
      </c>
      <c r="E242" s="23">
        <v>139</v>
      </c>
      <c r="F242" s="23">
        <v>11</v>
      </c>
      <c r="G242" s="23">
        <v>150</v>
      </c>
    </row>
    <row r="243" spans="1:7" x14ac:dyDescent="0.25">
      <c r="A243" s="23">
        <v>2021</v>
      </c>
      <c r="B243" s="23" t="s">
        <v>195</v>
      </c>
      <c r="C243" s="23" t="s">
        <v>181</v>
      </c>
      <c r="D243" s="23" t="s">
        <v>190</v>
      </c>
      <c r="E243" s="23">
        <v>189</v>
      </c>
      <c r="F243" s="23">
        <v>66</v>
      </c>
      <c r="G243" s="23">
        <v>255</v>
      </c>
    </row>
    <row r="244" spans="1:7" x14ac:dyDescent="0.25">
      <c r="A244" s="23">
        <v>2021</v>
      </c>
      <c r="B244" s="23" t="s">
        <v>195</v>
      </c>
      <c r="C244" s="23" t="s">
        <v>182</v>
      </c>
      <c r="D244" s="23" t="s">
        <v>188</v>
      </c>
      <c r="E244" s="23">
        <v>46</v>
      </c>
      <c r="F244" s="23">
        <v>56</v>
      </c>
      <c r="G244" s="23">
        <v>102</v>
      </c>
    </row>
    <row r="245" spans="1:7" x14ac:dyDescent="0.25">
      <c r="A245" s="23">
        <v>2021</v>
      </c>
      <c r="B245" s="23" t="s">
        <v>195</v>
      </c>
      <c r="C245" s="23" t="s">
        <v>182</v>
      </c>
      <c r="D245" s="23" t="s">
        <v>190</v>
      </c>
      <c r="E245" s="23">
        <v>246</v>
      </c>
      <c r="F245" s="23">
        <v>89</v>
      </c>
      <c r="G245" s="23">
        <v>335</v>
      </c>
    </row>
    <row r="246" spans="1:7" x14ac:dyDescent="0.25">
      <c r="A246" s="23">
        <v>2021</v>
      </c>
      <c r="B246" s="23" t="s">
        <v>195</v>
      </c>
      <c r="C246" s="23" t="s">
        <v>197</v>
      </c>
      <c r="D246" s="23" t="s">
        <v>188</v>
      </c>
      <c r="E246" s="23">
        <v>101</v>
      </c>
      <c r="F246" s="23">
        <v>77</v>
      </c>
      <c r="G246" s="23">
        <v>178</v>
      </c>
    </row>
    <row r="247" spans="1:7" x14ac:dyDescent="0.25">
      <c r="A247" s="23">
        <v>2021</v>
      </c>
      <c r="B247" s="23" t="s">
        <v>195</v>
      </c>
      <c r="C247" s="23" t="s">
        <v>197</v>
      </c>
      <c r="D247" s="23" t="s">
        <v>190</v>
      </c>
      <c r="E247" s="23">
        <v>162</v>
      </c>
      <c r="F247" s="23">
        <v>36</v>
      </c>
      <c r="G247" s="23">
        <v>198</v>
      </c>
    </row>
    <row r="248" spans="1:7" x14ac:dyDescent="0.25">
      <c r="A248" s="23">
        <v>2021</v>
      </c>
      <c r="B248" s="23" t="s">
        <v>195</v>
      </c>
      <c r="C248" s="23" t="s">
        <v>198</v>
      </c>
      <c r="D248" s="23" t="s">
        <v>188</v>
      </c>
      <c r="E248" s="23">
        <v>135</v>
      </c>
      <c r="F248" s="23">
        <v>56</v>
      </c>
      <c r="G248" s="23">
        <v>191</v>
      </c>
    </row>
    <row r="249" spans="1:7" x14ac:dyDescent="0.25">
      <c r="A249" s="23">
        <v>2021</v>
      </c>
      <c r="B249" s="23" t="s">
        <v>195</v>
      </c>
      <c r="C249" s="23" t="s">
        <v>198</v>
      </c>
      <c r="D249" s="23" t="s">
        <v>190</v>
      </c>
      <c r="E249" s="23">
        <v>82</v>
      </c>
      <c r="F249" s="23">
        <v>55</v>
      </c>
      <c r="G249" s="23">
        <v>137</v>
      </c>
    </row>
    <row r="250" spans="1:7" x14ac:dyDescent="0.25">
      <c r="A250" s="23">
        <v>2021</v>
      </c>
      <c r="B250" s="23" t="s">
        <v>195</v>
      </c>
      <c r="C250" s="23" t="s">
        <v>199</v>
      </c>
      <c r="D250" s="23" t="s">
        <v>188</v>
      </c>
      <c r="E250" s="23">
        <v>203</v>
      </c>
      <c r="F250" s="23">
        <v>78</v>
      </c>
      <c r="G250" s="23">
        <v>281</v>
      </c>
    </row>
    <row r="251" spans="1:7" x14ac:dyDescent="0.25">
      <c r="A251" s="23">
        <v>2021</v>
      </c>
      <c r="B251" s="23" t="s">
        <v>195</v>
      </c>
      <c r="C251" s="23" t="s">
        <v>199</v>
      </c>
      <c r="D251" s="23" t="s">
        <v>190</v>
      </c>
      <c r="E251" s="23">
        <v>247</v>
      </c>
      <c r="F251" s="23">
        <v>33</v>
      </c>
      <c r="G251" s="23">
        <v>280</v>
      </c>
    </row>
    <row r="252" spans="1:7" x14ac:dyDescent="0.25">
      <c r="A252" s="23">
        <v>2021</v>
      </c>
      <c r="B252" s="23" t="s">
        <v>195</v>
      </c>
      <c r="C252" s="23" t="s">
        <v>200</v>
      </c>
      <c r="D252" s="23" t="s">
        <v>188</v>
      </c>
      <c r="E252" s="23">
        <v>182</v>
      </c>
      <c r="F252" s="23">
        <v>56</v>
      </c>
      <c r="G252" s="23">
        <v>238</v>
      </c>
    </row>
    <row r="253" spans="1:7" x14ac:dyDescent="0.25">
      <c r="A253" s="23">
        <v>2021</v>
      </c>
      <c r="B253" s="23" t="s">
        <v>195</v>
      </c>
      <c r="C253" s="23" t="s">
        <v>200</v>
      </c>
      <c r="D253" s="23" t="s">
        <v>190</v>
      </c>
      <c r="E253" s="23">
        <v>168</v>
      </c>
      <c r="F253" s="23">
        <v>95</v>
      </c>
      <c r="G253" s="23">
        <v>263</v>
      </c>
    </row>
    <row r="254" spans="1:7" x14ac:dyDescent="0.25">
      <c r="A254" s="23">
        <v>2021</v>
      </c>
      <c r="B254" s="23" t="s">
        <v>195</v>
      </c>
      <c r="C254" s="23" t="s">
        <v>201</v>
      </c>
      <c r="D254" s="23" t="s">
        <v>188</v>
      </c>
      <c r="E254" s="23">
        <v>97</v>
      </c>
      <c r="F254" s="23">
        <v>108</v>
      </c>
      <c r="G254" s="23">
        <v>205</v>
      </c>
    </row>
    <row r="255" spans="1:7" x14ac:dyDescent="0.25">
      <c r="A255" s="23">
        <v>2021</v>
      </c>
      <c r="B255" s="23" t="s">
        <v>195</v>
      </c>
      <c r="C255" s="23" t="s">
        <v>201</v>
      </c>
      <c r="D255" s="23" t="s">
        <v>190</v>
      </c>
      <c r="E255" s="23">
        <v>226</v>
      </c>
      <c r="F255" s="23">
        <v>110</v>
      </c>
      <c r="G255" s="23">
        <v>336</v>
      </c>
    </row>
    <row r="256" spans="1:7" x14ac:dyDescent="0.25">
      <c r="A256" s="23">
        <v>2021</v>
      </c>
      <c r="B256" s="23" t="s">
        <v>195</v>
      </c>
      <c r="C256" s="23" t="s">
        <v>202</v>
      </c>
      <c r="D256" s="23" t="s">
        <v>188</v>
      </c>
      <c r="E256" s="23">
        <v>190</v>
      </c>
      <c r="F256" s="23">
        <v>43</v>
      </c>
      <c r="G256" s="23">
        <v>233</v>
      </c>
    </row>
    <row r="257" spans="1:7" x14ac:dyDescent="0.25">
      <c r="A257" s="23">
        <v>2021</v>
      </c>
      <c r="B257" s="23" t="s">
        <v>195</v>
      </c>
      <c r="C257" s="23" t="s">
        <v>202</v>
      </c>
      <c r="D257" s="23" t="s">
        <v>190</v>
      </c>
      <c r="E257" s="23">
        <v>202</v>
      </c>
      <c r="F257" s="23">
        <v>20</v>
      </c>
      <c r="G257" s="23">
        <v>222</v>
      </c>
    </row>
    <row r="258" spans="1:7" x14ac:dyDescent="0.25">
      <c r="A258" s="23">
        <v>2022</v>
      </c>
      <c r="B258" s="23" t="s">
        <v>187</v>
      </c>
      <c r="C258" s="23" t="s">
        <v>181</v>
      </c>
      <c r="D258" s="23" t="s">
        <v>188</v>
      </c>
      <c r="E258" s="23">
        <v>142</v>
      </c>
      <c r="F258" s="23">
        <v>109</v>
      </c>
      <c r="G258" s="23">
        <v>251</v>
      </c>
    </row>
    <row r="259" spans="1:7" x14ac:dyDescent="0.25">
      <c r="A259" s="23">
        <v>2022</v>
      </c>
      <c r="B259" s="23" t="s">
        <v>187</v>
      </c>
      <c r="C259" s="23" t="s">
        <v>181</v>
      </c>
      <c r="D259" s="23" t="s">
        <v>190</v>
      </c>
      <c r="E259" s="23">
        <v>243</v>
      </c>
      <c r="F259" s="23">
        <v>107</v>
      </c>
      <c r="G259" s="23">
        <v>350</v>
      </c>
    </row>
    <row r="260" spans="1:7" x14ac:dyDescent="0.25">
      <c r="A260" s="23">
        <v>2022</v>
      </c>
      <c r="B260" s="23" t="s">
        <v>187</v>
      </c>
      <c r="C260" s="23" t="s">
        <v>182</v>
      </c>
      <c r="D260" s="23" t="s">
        <v>188</v>
      </c>
      <c r="E260" s="23">
        <v>75</v>
      </c>
      <c r="F260" s="23">
        <v>64</v>
      </c>
      <c r="G260" s="23">
        <v>139</v>
      </c>
    </row>
    <row r="261" spans="1:7" x14ac:dyDescent="0.25">
      <c r="A261" s="23">
        <v>2022</v>
      </c>
      <c r="B261" s="23" t="s">
        <v>187</v>
      </c>
      <c r="C261" s="23" t="s">
        <v>182</v>
      </c>
      <c r="D261" s="23" t="s">
        <v>190</v>
      </c>
      <c r="E261" s="23">
        <v>99</v>
      </c>
      <c r="F261" s="23">
        <v>87</v>
      </c>
      <c r="G261" s="23">
        <v>186</v>
      </c>
    </row>
    <row r="262" spans="1:7" x14ac:dyDescent="0.25">
      <c r="A262" s="23">
        <v>2022</v>
      </c>
      <c r="B262" s="23" t="s">
        <v>187</v>
      </c>
      <c r="C262" s="23" t="s">
        <v>197</v>
      </c>
      <c r="D262" s="23" t="s">
        <v>188</v>
      </c>
      <c r="E262" s="23">
        <v>175</v>
      </c>
      <c r="F262" s="23">
        <v>19</v>
      </c>
      <c r="G262" s="23">
        <v>194</v>
      </c>
    </row>
    <row r="263" spans="1:7" x14ac:dyDescent="0.25">
      <c r="A263" s="23">
        <v>2022</v>
      </c>
      <c r="B263" s="23" t="s">
        <v>187</v>
      </c>
      <c r="C263" s="23" t="s">
        <v>197</v>
      </c>
      <c r="D263" s="23" t="s">
        <v>190</v>
      </c>
      <c r="E263" s="23">
        <v>90</v>
      </c>
      <c r="F263" s="23">
        <v>47</v>
      </c>
      <c r="G263" s="23">
        <v>137</v>
      </c>
    </row>
    <row r="264" spans="1:7" x14ac:dyDescent="0.25">
      <c r="A264" s="23">
        <v>2022</v>
      </c>
      <c r="B264" s="23" t="s">
        <v>187</v>
      </c>
      <c r="C264" s="23" t="s">
        <v>198</v>
      </c>
      <c r="D264" s="23" t="s">
        <v>188</v>
      </c>
      <c r="E264" s="23">
        <v>217</v>
      </c>
      <c r="F264" s="23">
        <v>104</v>
      </c>
      <c r="G264" s="23">
        <v>321</v>
      </c>
    </row>
    <row r="265" spans="1:7" x14ac:dyDescent="0.25">
      <c r="A265" s="23">
        <v>2022</v>
      </c>
      <c r="B265" s="23" t="s">
        <v>187</v>
      </c>
      <c r="C265" s="23" t="s">
        <v>198</v>
      </c>
      <c r="D265" s="23" t="s">
        <v>190</v>
      </c>
      <c r="E265" s="23">
        <v>234</v>
      </c>
      <c r="F265" s="23">
        <v>57</v>
      </c>
      <c r="G265" s="23">
        <v>291</v>
      </c>
    </row>
    <row r="266" spans="1:7" x14ac:dyDescent="0.25">
      <c r="A266" s="23">
        <v>2022</v>
      </c>
      <c r="B266" s="23" t="s">
        <v>187</v>
      </c>
      <c r="C266" s="23" t="s">
        <v>199</v>
      </c>
      <c r="D266" s="23" t="s">
        <v>188</v>
      </c>
      <c r="E266" s="23">
        <v>252</v>
      </c>
      <c r="F266" s="23">
        <v>79</v>
      </c>
      <c r="G266" s="23">
        <v>331</v>
      </c>
    </row>
    <row r="267" spans="1:7" x14ac:dyDescent="0.25">
      <c r="A267" s="23">
        <v>2022</v>
      </c>
      <c r="B267" s="23" t="s">
        <v>187</v>
      </c>
      <c r="C267" s="23" t="s">
        <v>199</v>
      </c>
      <c r="D267" s="23" t="s">
        <v>190</v>
      </c>
      <c r="E267" s="23">
        <v>214</v>
      </c>
      <c r="F267" s="23">
        <v>16</v>
      </c>
      <c r="G267" s="23">
        <v>230</v>
      </c>
    </row>
    <row r="268" spans="1:7" x14ac:dyDescent="0.25">
      <c r="A268" s="23">
        <v>2022</v>
      </c>
      <c r="B268" s="23" t="s">
        <v>187</v>
      </c>
      <c r="C268" s="23" t="s">
        <v>200</v>
      </c>
      <c r="D268" s="23" t="s">
        <v>188</v>
      </c>
      <c r="E268" s="23">
        <v>100</v>
      </c>
      <c r="F268" s="23">
        <v>101</v>
      </c>
      <c r="G268" s="23">
        <v>201</v>
      </c>
    </row>
    <row r="269" spans="1:7" x14ac:dyDescent="0.25">
      <c r="A269" s="23">
        <v>2022</v>
      </c>
      <c r="B269" s="23" t="s">
        <v>187</v>
      </c>
      <c r="C269" s="23" t="s">
        <v>200</v>
      </c>
      <c r="D269" s="23" t="s">
        <v>190</v>
      </c>
      <c r="E269" s="23">
        <v>159</v>
      </c>
      <c r="F269" s="23">
        <v>50</v>
      </c>
      <c r="G269" s="23">
        <v>209</v>
      </c>
    </row>
    <row r="270" spans="1:7" x14ac:dyDescent="0.25">
      <c r="A270" s="23">
        <v>2022</v>
      </c>
      <c r="B270" s="23" t="s">
        <v>187</v>
      </c>
      <c r="C270" s="23" t="s">
        <v>201</v>
      </c>
      <c r="D270" s="23" t="s">
        <v>188</v>
      </c>
      <c r="E270" s="23">
        <v>70</v>
      </c>
      <c r="F270" s="23">
        <v>99</v>
      </c>
      <c r="G270" s="23">
        <v>169</v>
      </c>
    </row>
    <row r="271" spans="1:7" x14ac:dyDescent="0.25">
      <c r="A271" s="23">
        <v>2022</v>
      </c>
      <c r="B271" s="23" t="s">
        <v>187</v>
      </c>
      <c r="C271" s="23" t="s">
        <v>201</v>
      </c>
      <c r="D271" s="23" t="s">
        <v>190</v>
      </c>
      <c r="E271" s="23">
        <v>182</v>
      </c>
      <c r="F271" s="23">
        <v>80</v>
      </c>
      <c r="G271" s="23">
        <v>262</v>
      </c>
    </row>
    <row r="272" spans="1:7" x14ac:dyDescent="0.25">
      <c r="A272" s="23">
        <v>2022</v>
      </c>
      <c r="B272" s="23" t="s">
        <v>187</v>
      </c>
      <c r="C272" s="23" t="s">
        <v>202</v>
      </c>
      <c r="D272" s="23" t="s">
        <v>188</v>
      </c>
      <c r="E272" s="23">
        <v>78</v>
      </c>
      <c r="F272" s="23">
        <v>44</v>
      </c>
      <c r="G272" s="23">
        <v>122</v>
      </c>
    </row>
    <row r="273" spans="1:7" x14ac:dyDescent="0.25">
      <c r="A273" s="23">
        <v>2022</v>
      </c>
      <c r="B273" s="23" t="s">
        <v>187</v>
      </c>
      <c r="C273" s="23" t="s">
        <v>202</v>
      </c>
      <c r="D273" s="23" t="s">
        <v>190</v>
      </c>
      <c r="E273" s="23">
        <v>153</v>
      </c>
      <c r="F273" s="23">
        <v>66</v>
      </c>
      <c r="G273" s="23">
        <v>219</v>
      </c>
    </row>
    <row r="274" spans="1:7" x14ac:dyDescent="0.25">
      <c r="A274" s="23">
        <v>2022</v>
      </c>
      <c r="B274" s="23" t="s">
        <v>189</v>
      </c>
      <c r="C274" s="23" t="s">
        <v>181</v>
      </c>
      <c r="D274" s="23" t="s">
        <v>188</v>
      </c>
      <c r="E274" s="23">
        <v>186</v>
      </c>
      <c r="F274" s="23">
        <v>53</v>
      </c>
      <c r="G274" s="23">
        <v>239</v>
      </c>
    </row>
    <row r="275" spans="1:7" x14ac:dyDescent="0.25">
      <c r="A275" s="23">
        <v>2022</v>
      </c>
      <c r="B275" s="23" t="s">
        <v>189</v>
      </c>
      <c r="C275" s="23" t="s">
        <v>181</v>
      </c>
      <c r="D275" s="23" t="s">
        <v>190</v>
      </c>
      <c r="E275" s="23">
        <v>182</v>
      </c>
      <c r="F275" s="23">
        <v>96</v>
      </c>
      <c r="G275" s="23">
        <v>278</v>
      </c>
    </row>
    <row r="276" spans="1:7" x14ac:dyDescent="0.25">
      <c r="A276" s="23">
        <v>2022</v>
      </c>
      <c r="B276" s="23" t="s">
        <v>189</v>
      </c>
      <c r="C276" s="23" t="s">
        <v>182</v>
      </c>
      <c r="D276" s="23" t="s">
        <v>188</v>
      </c>
      <c r="E276" s="23">
        <v>94</v>
      </c>
      <c r="F276" s="23">
        <v>62</v>
      </c>
      <c r="G276" s="23">
        <v>156</v>
      </c>
    </row>
    <row r="277" spans="1:7" x14ac:dyDescent="0.25">
      <c r="A277" s="23">
        <v>2022</v>
      </c>
      <c r="B277" s="23" t="s">
        <v>189</v>
      </c>
      <c r="C277" s="23" t="s">
        <v>182</v>
      </c>
      <c r="D277" s="23" t="s">
        <v>190</v>
      </c>
      <c r="E277" s="23">
        <v>102</v>
      </c>
      <c r="F277" s="23">
        <v>21</v>
      </c>
      <c r="G277" s="23">
        <v>123</v>
      </c>
    </row>
    <row r="278" spans="1:7" x14ac:dyDescent="0.25">
      <c r="A278" s="23">
        <v>2022</v>
      </c>
      <c r="B278" s="23" t="s">
        <v>189</v>
      </c>
      <c r="C278" s="23" t="s">
        <v>197</v>
      </c>
      <c r="D278" s="23" t="s">
        <v>188</v>
      </c>
      <c r="E278" s="23">
        <v>66</v>
      </c>
      <c r="F278" s="23">
        <v>19</v>
      </c>
      <c r="G278" s="23">
        <v>85</v>
      </c>
    </row>
    <row r="279" spans="1:7" x14ac:dyDescent="0.25">
      <c r="A279" s="23">
        <v>2022</v>
      </c>
      <c r="B279" s="23" t="s">
        <v>189</v>
      </c>
      <c r="C279" s="23" t="s">
        <v>197</v>
      </c>
      <c r="D279" s="23" t="s">
        <v>190</v>
      </c>
      <c r="E279" s="23">
        <v>102</v>
      </c>
      <c r="F279" s="23">
        <v>58</v>
      </c>
      <c r="G279" s="23">
        <v>160</v>
      </c>
    </row>
    <row r="280" spans="1:7" x14ac:dyDescent="0.25">
      <c r="A280" s="23">
        <v>2022</v>
      </c>
      <c r="B280" s="23" t="s">
        <v>189</v>
      </c>
      <c r="C280" s="23" t="s">
        <v>198</v>
      </c>
      <c r="D280" s="23" t="s">
        <v>188</v>
      </c>
      <c r="E280" s="23">
        <v>108</v>
      </c>
      <c r="F280" s="23">
        <v>89</v>
      </c>
      <c r="G280" s="23">
        <v>197</v>
      </c>
    </row>
    <row r="281" spans="1:7" x14ac:dyDescent="0.25">
      <c r="A281" s="23">
        <v>2022</v>
      </c>
      <c r="B281" s="23" t="s">
        <v>189</v>
      </c>
      <c r="C281" s="23" t="s">
        <v>198</v>
      </c>
      <c r="D281" s="23" t="s">
        <v>190</v>
      </c>
      <c r="E281" s="23">
        <v>179</v>
      </c>
      <c r="F281" s="23">
        <v>23</v>
      </c>
      <c r="G281" s="23">
        <v>202</v>
      </c>
    </row>
    <row r="282" spans="1:7" x14ac:dyDescent="0.25">
      <c r="A282" s="23">
        <v>2022</v>
      </c>
      <c r="B282" s="23" t="s">
        <v>189</v>
      </c>
      <c r="C282" s="23" t="s">
        <v>199</v>
      </c>
      <c r="D282" s="23" t="s">
        <v>188</v>
      </c>
      <c r="E282" s="23">
        <v>214</v>
      </c>
      <c r="F282" s="23">
        <v>48</v>
      </c>
      <c r="G282" s="23">
        <v>262</v>
      </c>
    </row>
    <row r="283" spans="1:7" x14ac:dyDescent="0.25">
      <c r="A283" s="23">
        <v>2022</v>
      </c>
      <c r="B283" s="23" t="s">
        <v>189</v>
      </c>
      <c r="C283" s="23" t="s">
        <v>199</v>
      </c>
      <c r="D283" s="23" t="s">
        <v>190</v>
      </c>
      <c r="E283" s="23">
        <v>180</v>
      </c>
      <c r="F283" s="23">
        <v>33</v>
      </c>
      <c r="G283" s="23">
        <v>213</v>
      </c>
    </row>
    <row r="284" spans="1:7" x14ac:dyDescent="0.25">
      <c r="A284" s="23">
        <v>2022</v>
      </c>
      <c r="B284" s="23" t="s">
        <v>189</v>
      </c>
      <c r="C284" s="23" t="s">
        <v>200</v>
      </c>
      <c r="D284" s="23" t="s">
        <v>188</v>
      </c>
      <c r="E284" s="23">
        <v>233</v>
      </c>
      <c r="F284" s="23">
        <v>45</v>
      </c>
      <c r="G284" s="23">
        <v>278</v>
      </c>
    </row>
    <row r="285" spans="1:7" x14ac:dyDescent="0.25">
      <c r="A285" s="23">
        <v>2022</v>
      </c>
      <c r="B285" s="23" t="s">
        <v>189</v>
      </c>
      <c r="C285" s="23" t="s">
        <v>200</v>
      </c>
      <c r="D285" s="23" t="s">
        <v>190</v>
      </c>
      <c r="E285" s="23">
        <v>169</v>
      </c>
      <c r="F285" s="23">
        <v>78</v>
      </c>
      <c r="G285" s="23">
        <v>247</v>
      </c>
    </row>
    <row r="286" spans="1:7" x14ac:dyDescent="0.25">
      <c r="A286" s="23">
        <v>2022</v>
      </c>
      <c r="B286" s="23" t="s">
        <v>189</v>
      </c>
      <c r="C286" s="23" t="s">
        <v>201</v>
      </c>
      <c r="D286" s="23" t="s">
        <v>188</v>
      </c>
      <c r="E286" s="23">
        <v>251</v>
      </c>
      <c r="F286" s="23">
        <v>22</v>
      </c>
      <c r="G286" s="23">
        <v>273</v>
      </c>
    </row>
    <row r="287" spans="1:7" x14ac:dyDescent="0.25">
      <c r="A287" s="23">
        <v>2022</v>
      </c>
      <c r="B287" s="23" t="s">
        <v>189</v>
      </c>
      <c r="C287" s="23" t="s">
        <v>201</v>
      </c>
      <c r="D287" s="23" t="s">
        <v>190</v>
      </c>
      <c r="E287" s="23">
        <v>44</v>
      </c>
      <c r="F287" s="23">
        <v>17</v>
      </c>
      <c r="G287" s="23">
        <v>61</v>
      </c>
    </row>
    <row r="288" spans="1:7" x14ac:dyDescent="0.25">
      <c r="A288" s="23">
        <v>2022</v>
      </c>
      <c r="B288" s="23" t="s">
        <v>189</v>
      </c>
      <c r="C288" s="23" t="s">
        <v>202</v>
      </c>
      <c r="D288" s="23" t="s">
        <v>188</v>
      </c>
      <c r="E288" s="23">
        <v>232</v>
      </c>
      <c r="F288" s="23">
        <v>99</v>
      </c>
      <c r="G288" s="23">
        <v>331</v>
      </c>
    </row>
    <row r="289" spans="1:7" x14ac:dyDescent="0.25">
      <c r="A289" s="23">
        <v>2022</v>
      </c>
      <c r="B289" s="23" t="s">
        <v>189</v>
      </c>
      <c r="C289" s="23" t="s">
        <v>202</v>
      </c>
      <c r="D289" s="23" t="s">
        <v>190</v>
      </c>
      <c r="E289" s="23">
        <v>187</v>
      </c>
      <c r="F289" s="23">
        <v>88</v>
      </c>
      <c r="G289" s="23">
        <v>275</v>
      </c>
    </row>
    <row r="290" spans="1:7" x14ac:dyDescent="0.25">
      <c r="A290" s="23">
        <v>2022</v>
      </c>
      <c r="B290" s="23" t="s">
        <v>191</v>
      </c>
      <c r="C290" s="23" t="s">
        <v>181</v>
      </c>
      <c r="D290" s="23" t="s">
        <v>188</v>
      </c>
      <c r="E290" s="23">
        <v>159</v>
      </c>
      <c r="F290" s="23">
        <v>81</v>
      </c>
      <c r="G290" s="23">
        <v>240</v>
      </c>
    </row>
    <row r="291" spans="1:7" x14ac:dyDescent="0.25">
      <c r="A291" s="23">
        <v>2022</v>
      </c>
      <c r="B291" s="23" t="s">
        <v>191</v>
      </c>
      <c r="C291" s="23" t="s">
        <v>181</v>
      </c>
      <c r="D291" s="23" t="s">
        <v>190</v>
      </c>
      <c r="E291" s="23">
        <v>142</v>
      </c>
      <c r="F291" s="23">
        <v>55</v>
      </c>
      <c r="G291" s="23">
        <v>197</v>
      </c>
    </row>
    <row r="292" spans="1:7" x14ac:dyDescent="0.25">
      <c r="A292" s="23">
        <v>2022</v>
      </c>
      <c r="B292" s="23" t="s">
        <v>191</v>
      </c>
      <c r="C292" s="23" t="s">
        <v>182</v>
      </c>
      <c r="D292" s="23" t="s">
        <v>188</v>
      </c>
      <c r="E292" s="23">
        <v>49</v>
      </c>
      <c r="F292" s="23">
        <v>11</v>
      </c>
      <c r="G292" s="23">
        <v>60</v>
      </c>
    </row>
    <row r="293" spans="1:7" x14ac:dyDescent="0.25">
      <c r="A293" s="23">
        <v>2022</v>
      </c>
      <c r="B293" s="23" t="s">
        <v>191</v>
      </c>
      <c r="C293" s="23" t="s">
        <v>182</v>
      </c>
      <c r="D293" s="23" t="s">
        <v>190</v>
      </c>
      <c r="E293" s="23">
        <v>187</v>
      </c>
      <c r="F293" s="23">
        <v>49</v>
      </c>
      <c r="G293" s="23">
        <v>236</v>
      </c>
    </row>
    <row r="294" spans="1:7" x14ac:dyDescent="0.25">
      <c r="A294" s="23">
        <v>2022</v>
      </c>
      <c r="B294" s="23" t="s">
        <v>191</v>
      </c>
      <c r="C294" s="23" t="s">
        <v>197</v>
      </c>
      <c r="D294" s="23" t="s">
        <v>188</v>
      </c>
      <c r="E294" s="23">
        <v>131</v>
      </c>
      <c r="F294" s="23">
        <v>15</v>
      </c>
      <c r="G294" s="23">
        <v>146</v>
      </c>
    </row>
    <row r="295" spans="1:7" x14ac:dyDescent="0.25">
      <c r="A295" s="23">
        <v>2022</v>
      </c>
      <c r="B295" s="23" t="s">
        <v>191</v>
      </c>
      <c r="C295" s="23" t="s">
        <v>197</v>
      </c>
      <c r="D295" s="23" t="s">
        <v>190</v>
      </c>
      <c r="E295" s="23">
        <v>74</v>
      </c>
      <c r="F295" s="23">
        <v>96</v>
      </c>
      <c r="G295" s="23">
        <v>170</v>
      </c>
    </row>
    <row r="296" spans="1:7" x14ac:dyDescent="0.25">
      <c r="A296" s="23">
        <v>2022</v>
      </c>
      <c r="B296" s="23" t="s">
        <v>191</v>
      </c>
      <c r="C296" s="23" t="s">
        <v>198</v>
      </c>
      <c r="D296" s="23" t="s">
        <v>188</v>
      </c>
      <c r="E296" s="23">
        <v>63</v>
      </c>
      <c r="F296" s="23">
        <v>74</v>
      </c>
      <c r="G296" s="23">
        <v>137</v>
      </c>
    </row>
    <row r="297" spans="1:7" x14ac:dyDescent="0.25">
      <c r="A297" s="23">
        <v>2022</v>
      </c>
      <c r="B297" s="23" t="s">
        <v>191</v>
      </c>
      <c r="C297" s="23" t="s">
        <v>198</v>
      </c>
      <c r="D297" s="23" t="s">
        <v>190</v>
      </c>
      <c r="E297" s="23">
        <v>231</v>
      </c>
      <c r="F297" s="23">
        <v>56</v>
      </c>
      <c r="G297" s="23">
        <v>287</v>
      </c>
    </row>
    <row r="298" spans="1:7" x14ac:dyDescent="0.25">
      <c r="A298" s="23">
        <v>2022</v>
      </c>
      <c r="B298" s="23" t="s">
        <v>191</v>
      </c>
      <c r="C298" s="23" t="s">
        <v>199</v>
      </c>
      <c r="D298" s="23" t="s">
        <v>188</v>
      </c>
      <c r="E298" s="23">
        <v>228</v>
      </c>
      <c r="F298" s="23">
        <v>66</v>
      </c>
      <c r="G298" s="23">
        <v>294</v>
      </c>
    </row>
    <row r="299" spans="1:7" x14ac:dyDescent="0.25">
      <c r="A299" s="23">
        <v>2022</v>
      </c>
      <c r="B299" s="23" t="s">
        <v>191</v>
      </c>
      <c r="C299" s="23" t="s">
        <v>199</v>
      </c>
      <c r="D299" s="23" t="s">
        <v>190</v>
      </c>
      <c r="E299" s="23">
        <v>49</v>
      </c>
      <c r="F299" s="23">
        <v>11</v>
      </c>
      <c r="G299" s="23">
        <v>60</v>
      </c>
    </row>
    <row r="300" spans="1:7" x14ac:dyDescent="0.25">
      <c r="A300" s="23">
        <v>2022</v>
      </c>
      <c r="B300" s="23" t="s">
        <v>191</v>
      </c>
      <c r="C300" s="23" t="s">
        <v>200</v>
      </c>
      <c r="D300" s="23" t="s">
        <v>188</v>
      </c>
      <c r="E300" s="23">
        <v>104</v>
      </c>
      <c r="F300" s="23">
        <v>110</v>
      </c>
      <c r="G300" s="23">
        <v>214</v>
      </c>
    </row>
    <row r="301" spans="1:7" x14ac:dyDescent="0.25">
      <c r="A301" s="23">
        <v>2022</v>
      </c>
      <c r="B301" s="23" t="s">
        <v>191</v>
      </c>
      <c r="C301" s="23" t="s">
        <v>200</v>
      </c>
      <c r="D301" s="23" t="s">
        <v>190</v>
      </c>
      <c r="E301" s="23">
        <v>228</v>
      </c>
      <c r="F301" s="23">
        <v>83</v>
      </c>
      <c r="G301" s="23">
        <v>311</v>
      </c>
    </row>
    <row r="302" spans="1:7" x14ac:dyDescent="0.25">
      <c r="A302" s="23">
        <v>2022</v>
      </c>
      <c r="B302" s="23" t="s">
        <v>191</v>
      </c>
      <c r="C302" s="23" t="s">
        <v>201</v>
      </c>
      <c r="D302" s="23" t="s">
        <v>188</v>
      </c>
      <c r="E302" s="23">
        <v>217</v>
      </c>
      <c r="F302" s="23">
        <v>65</v>
      </c>
      <c r="G302" s="23">
        <v>282</v>
      </c>
    </row>
    <row r="303" spans="1:7" x14ac:dyDescent="0.25">
      <c r="A303" s="23">
        <v>2022</v>
      </c>
      <c r="B303" s="23" t="s">
        <v>191</v>
      </c>
      <c r="C303" s="23" t="s">
        <v>201</v>
      </c>
      <c r="D303" s="23" t="s">
        <v>190</v>
      </c>
      <c r="E303" s="23">
        <v>70</v>
      </c>
      <c r="F303" s="23">
        <v>30</v>
      </c>
      <c r="G303" s="23">
        <v>100</v>
      </c>
    </row>
    <row r="304" spans="1:7" x14ac:dyDescent="0.25">
      <c r="A304" s="23">
        <v>2022</v>
      </c>
      <c r="B304" s="23" t="s">
        <v>191</v>
      </c>
      <c r="C304" s="23" t="s">
        <v>202</v>
      </c>
      <c r="D304" s="23" t="s">
        <v>188</v>
      </c>
      <c r="E304" s="23">
        <v>112</v>
      </c>
      <c r="F304" s="23">
        <v>46</v>
      </c>
      <c r="G304" s="23">
        <v>158</v>
      </c>
    </row>
    <row r="305" spans="1:7" x14ac:dyDescent="0.25">
      <c r="A305" s="23">
        <v>2022</v>
      </c>
      <c r="B305" s="23" t="s">
        <v>191</v>
      </c>
      <c r="C305" s="23" t="s">
        <v>202</v>
      </c>
      <c r="D305" s="23" t="s">
        <v>190</v>
      </c>
      <c r="E305" s="23">
        <v>213</v>
      </c>
      <c r="F305" s="23">
        <v>69</v>
      </c>
      <c r="G305" s="23">
        <v>282</v>
      </c>
    </row>
    <row r="306" spans="1:7" x14ac:dyDescent="0.25">
      <c r="A306" s="23">
        <v>2022</v>
      </c>
      <c r="B306" s="23" t="s">
        <v>193</v>
      </c>
      <c r="C306" s="23" t="s">
        <v>181</v>
      </c>
      <c r="D306" s="23" t="s">
        <v>188</v>
      </c>
      <c r="E306" s="23">
        <v>194</v>
      </c>
      <c r="F306" s="23">
        <v>63</v>
      </c>
      <c r="G306" s="23">
        <v>257</v>
      </c>
    </row>
    <row r="307" spans="1:7" x14ac:dyDescent="0.25">
      <c r="A307" s="23">
        <v>2022</v>
      </c>
      <c r="B307" s="23" t="s">
        <v>193</v>
      </c>
      <c r="C307" s="23" t="s">
        <v>181</v>
      </c>
      <c r="D307" s="23" t="s">
        <v>190</v>
      </c>
      <c r="E307" s="23">
        <v>87</v>
      </c>
      <c r="F307" s="23">
        <v>61</v>
      </c>
      <c r="G307" s="23">
        <v>148</v>
      </c>
    </row>
    <row r="308" spans="1:7" x14ac:dyDescent="0.25">
      <c r="A308" s="23">
        <v>2022</v>
      </c>
      <c r="B308" s="23" t="s">
        <v>193</v>
      </c>
      <c r="C308" s="23" t="s">
        <v>182</v>
      </c>
      <c r="D308" s="23" t="s">
        <v>188</v>
      </c>
      <c r="E308" s="23">
        <v>185</v>
      </c>
      <c r="F308" s="23">
        <v>107</v>
      </c>
      <c r="G308" s="23">
        <v>292</v>
      </c>
    </row>
    <row r="309" spans="1:7" x14ac:dyDescent="0.25">
      <c r="A309" s="23">
        <v>2022</v>
      </c>
      <c r="B309" s="23" t="s">
        <v>193</v>
      </c>
      <c r="C309" s="23" t="s">
        <v>182</v>
      </c>
      <c r="D309" s="23" t="s">
        <v>190</v>
      </c>
      <c r="E309" s="23">
        <v>89</v>
      </c>
      <c r="F309" s="23">
        <v>48</v>
      </c>
      <c r="G309" s="23">
        <v>137</v>
      </c>
    </row>
    <row r="310" spans="1:7" x14ac:dyDescent="0.25">
      <c r="A310" s="23">
        <v>2022</v>
      </c>
      <c r="B310" s="23" t="s">
        <v>193</v>
      </c>
      <c r="C310" s="23" t="s">
        <v>197</v>
      </c>
      <c r="D310" s="23" t="s">
        <v>188</v>
      </c>
      <c r="E310" s="23">
        <v>81</v>
      </c>
      <c r="F310" s="23">
        <v>13</v>
      </c>
      <c r="G310" s="23">
        <v>94</v>
      </c>
    </row>
    <row r="311" spans="1:7" x14ac:dyDescent="0.25">
      <c r="A311" s="23">
        <v>2022</v>
      </c>
      <c r="B311" s="23" t="s">
        <v>193</v>
      </c>
      <c r="C311" s="23" t="s">
        <v>197</v>
      </c>
      <c r="D311" s="23" t="s">
        <v>190</v>
      </c>
      <c r="E311" s="23">
        <v>157</v>
      </c>
      <c r="F311" s="23">
        <v>88</v>
      </c>
      <c r="G311" s="23">
        <v>245</v>
      </c>
    </row>
    <row r="312" spans="1:7" x14ac:dyDescent="0.25">
      <c r="A312" s="23">
        <v>2022</v>
      </c>
      <c r="B312" s="23" t="s">
        <v>193</v>
      </c>
      <c r="C312" s="23" t="s">
        <v>198</v>
      </c>
      <c r="D312" s="23" t="s">
        <v>188</v>
      </c>
      <c r="E312" s="23">
        <v>112</v>
      </c>
      <c r="F312" s="23">
        <v>108</v>
      </c>
      <c r="G312" s="23">
        <v>220</v>
      </c>
    </row>
    <row r="313" spans="1:7" x14ac:dyDescent="0.25">
      <c r="A313" s="23">
        <v>2022</v>
      </c>
      <c r="B313" s="23" t="s">
        <v>193</v>
      </c>
      <c r="C313" s="23" t="s">
        <v>198</v>
      </c>
      <c r="D313" s="23" t="s">
        <v>190</v>
      </c>
      <c r="E313" s="23">
        <v>247</v>
      </c>
      <c r="F313" s="23">
        <v>95</v>
      </c>
      <c r="G313" s="23">
        <v>342</v>
      </c>
    </row>
    <row r="314" spans="1:7" x14ac:dyDescent="0.25">
      <c r="A314" s="23">
        <v>2022</v>
      </c>
      <c r="B314" s="23" t="s">
        <v>193</v>
      </c>
      <c r="C314" s="23" t="s">
        <v>199</v>
      </c>
      <c r="D314" s="23" t="s">
        <v>188</v>
      </c>
      <c r="E314" s="23">
        <v>145</v>
      </c>
      <c r="F314" s="23">
        <v>28</v>
      </c>
      <c r="G314" s="23">
        <v>173</v>
      </c>
    </row>
    <row r="315" spans="1:7" x14ac:dyDescent="0.25">
      <c r="A315" s="23">
        <v>2022</v>
      </c>
      <c r="B315" s="23" t="s">
        <v>193</v>
      </c>
      <c r="C315" s="23" t="s">
        <v>199</v>
      </c>
      <c r="D315" s="23" t="s">
        <v>190</v>
      </c>
      <c r="E315" s="23">
        <v>180</v>
      </c>
      <c r="F315" s="23">
        <v>93</v>
      </c>
      <c r="G315" s="23">
        <v>273</v>
      </c>
    </row>
    <row r="316" spans="1:7" x14ac:dyDescent="0.25">
      <c r="A316" s="23">
        <v>2022</v>
      </c>
      <c r="B316" s="23" t="s">
        <v>193</v>
      </c>
      <c r="C316" s="23" t="s">
        <v>200</v>
      </c>
      <c r="D316" s="23" t="s">
        <v>188</v>
      </c>
      <c r="E316" s="23">
        <v>137</v>
      </c>
      <c r="F316" s="23">
        <v>50</v>
      </c>
      <c r="G316" s="23">
        <v>187</v>
      </c>
    </row>
    <row r="317" spans="1:7" x14ac:dyDescent="0.25">
      <c r="A317" s="23">
        <v>2022</v>
      </c>
      <c r="B317" s="23" t="s">
        <v>193</v>
      </c>
      <c r="C317" s="23" t="s">
        <v>200</v>
      </c>
      <c r="D317" s="23" t="s">
        <v>190</v>
      </c>
      <c r="E317" s="23">
        <v>61</v>
      </c>
      <c r="F317" s="23">
        <v>48</v>
      </c>
      <c r="G317" s="23">
        <v>109</v>
      </c>
    </row>
    <row r="318" spans="1:7" x14ac:dyDescent="0.25">
      <c r="A318" s="23">
        <v>2022</v>
      </c>
      <c r="B318" s="23" t="s">
        <v>193</v>
      </c>
      <c r="C318" s="23" t="s">
        <v>201</v>
      </c>
      <c r="D318" s="23" t="s">
        <v>188</v>
      </c>
      <c r="E318" s="23">
        <v>159</v>
      </c>
      <c r="F318" s="23">
        <v>39</v>
      </c>
      <c r="G318" s="23">
        <v>198</v>
      </c>
    </row>
    <row r="319" spans="1:7" x14ac:dyDescent="0.25">
      <c r="A319" s="23">
        <v>2022</v>
      </c>
      <c r="B319" s="23" t="s">
        <v>193</v>
      </c>
      <c r="C319" s="23" t="s">
        <v>201</v>
      </c>
      <c r="D319" s="23" t="s">
        <v>190</v>
      </c>
      <c r="E319" s="23">
        <v>185</v>
      </c>
      <c r="F319" s="23">
        <v>17</v>
      </c>
      <c r="G319" s="23">
        <v>202</v>
      </c>
    </row>
    <row r="320" spans="1:7" x14ac:dyDescent="0.25">
      <c r="A320" s="23">
        <v>2022</v>
      </c>
      <c r="B320" s="23" t="s">
        <v>193</v>
      </c>
      <c r="C320" s="23" t="s">
        <v>202</v>
      </c>
      <c r="D320" s="23" t="s">
        <v>188</v>
      </c>
      <c r="E320" s="23">
        <v>205</v>
      </c>
      <c r="F320" s="23">
        <v>97</v>
      </c>
      <c r="G320" s="23">
        <v>302</v>
      </c>
    </row>
    <row r="321" spans="1:7" x14ac:dyDescent="0.25">
      <c r="A321" s="23">
        <v>2022</v>
      </c>
      <c r="B321" s="23" t="s">
        <v>193</v>
      </c>
      <c r="C321" s="23" t="s">
        <v>202</v>
      </c>
      <c r="D321" s="23" t="s">
        <v>190</v>
      </c>
      <c r="E321" s="23">
        <v>230</v>
      </c>
      <c r="F321" s="23">
        <v>75</v>
      </c>
      <c r="G321" s="23">
        <v>305</v>
      </c>
    </row>
    <row r="322" spans="1:7" x14ac:dyDescent="0.25">
      <c r="A322" s="23">
        <v>2022</v>
      </c>
      <c r="B322" s="23" t="s">
        <v>192</v>
      </c>
      <c r="C322" s="23" t="s">
        <v>181</v>
      </c>
      <c r="D322" s="23" t="s">
        <v>188</v>
      </c>
      <c r="E322" s="23">
        <v>55</v>
      </c>
      <c r="F322" s="23">
        <v>108</v>
      </c>
      <c r="G322" s="23">
        <v>163</v>
      </c>
    </row>
    <row r="323" spans="1:7" x14ac:dyDescent="0.25">
      <c r="A323" s="23">
        <v>2022</v>
      </c>
      <c r="B323" s="23" t="s">
        <v>192</v>
      </c>
      <c r="C323" s="23" t="s">
        <v>181</v>
      </c>
      <c r="D323" s="23" t="s">
        <v>190</v>
      </c>
      <c r="E323" s="23">
        <v>67</v>
      </c>
      <c r="F323" s="23">
        <v>23</v>
      </c>
      <c r="G323" s="23">
        <v>90</v>
      </c>
    </row>
    <row r="324" spans="1:7" x14ac:dyDescent="0.25">
      <c r="A324" s="23">
        <v>2022</v>
      </c>
      <c r="B324" s="23" t="s">
        <v>192</v>
      </c>
      <c r="C324" s="23" t="s">
        <v>182</v>
      </c>
      <c r="D324" s="23" t="s">
        <v>188</v>
      </c>
      <c r="E324" s="23">
        <v>135</v>
      </c>
      <c r="F324" s="23">
        <v>22</v>
      </c>
      <c r="G324" s="23">
        <v>157</v>
      </c>
    </row>
    <row r="325" spans="1:7" x14ac:dyDescent="0.25">
      <c r="A325" s="23">
        <v>2022</v>
      </c>
      <c r="B325" s="23" t="s">
        <v>192</v>
      </c>
      <c r="C325" s="23" t="s">
        <v>182</v>
      </c>
      <c r="D325" s="23" t="s">
        <v>190</v>
      </c>
      <c r="E325" s="23">
        <v>198</v>
      </c>
      <c r="F325" s="23">
        <v>14</v>
      </c>
      <c r="G325" s="23">
        <v>212</v>
      </c>
    </row>
    <row r="326" spans="1:7" x14ac:dyDescent="0.25">
      <c r="A326" s="23">
        <v>2022</v>
      </c>
      <c r="B326" s="23" t="s">
        <v>192</v>
      </c>
      <c r="C326" s="23" t="s">
        <v>197</v>
      </c>
      <c r="D326" s="23" t="s">
        <v>188</v>
      </c>
      <c r="E326" s="23">
        <v>205</v>
      </c>
      <c r="F326" s="23">
        <v>31</v>
      </c>
      <c r="G326" s="23">
        <v>236</v>
      </c>
    </row>
    <row r="327" spans="1:7" x14ac:dyDescent="0.25">
      <c r="A327" s="23">
        <v>2022</v>
      </c>
      <c r="B327" s="23" t="s">
        <v>192</v>
      </c>
      <c r="C327" s="23" t="s">
        <v>197</v>
      </c>
      <c r="D327" s="23" t="s">
        <v>190</v>
      </c>
      <c r="E327" s="23">
        <v>115</v>
      </c>
      <c r="F327" s="23">
        <v>89</v>
      </c>
      <c r="G327" s="23">
        <v>204</v>
      </c>
    </row>
    <row r="328" spans="1:7" x14ac:dyDescent="0.25">
      <c r="A328" s="23">
        <v>2022</v>
      </c>
      <c r="B328" s="23" t="s">
        <v>192</v>
      </c>
      <c r="C328" s="23" t="s">
        <v>198</v>
      </c>
      <c r="D328" s="23" t="s">
        <v>188</v>
      </c>
      <c r="E328" s="23">
        <v>139</v>
      </c>
      <c r="F328" s="23">
        <v>79</v>
      </c>
      <c r="G328" s="23">
        <v>218</v>
      </c>
    </row>
    <row r="329" spans="1:7" x14ac:dyDescent="0.25">
      <c r="A329" s="23">
        <v>2022</v>
      </c>
      <c r="B329" s="23" t="s">
        <v>192</v>
      </c>
      <c r="C329" s="23" t="s">
        <v>198</v>
      </c>
      <c r="D329" s="23" t="s">
        <v>190</v>
      </c>
      <c r="E329" s="23">
        <v>259</v>
      </c>
      <c r="F329" s="23">
        <v>42</v>
      </c>
      <c r="G329" s="23">
        <v>301</v>
      </c>
    </row>
    <row r="330" spans="1:7" x14ac:dyDescent="0.25">
      <c r="A330" s="23">
        <v>2022</v>
      </c>
      <c r="B330" s="23" t="s">
        <v>192</v>
      </c>
      <c r="C330" s="23" t="s">
        <v>199</v>
      </c>
      <c r="D330" s="23" t="s">
        <v>188</v>
      </c>
      <c r="E330" s="23">
        <v>99</v>
      </c>
      <c r="F330" s="23">
        <v>104</v>
      </c>
      <c r="G330" s="23">
        <v>203</v>
      </c>
    </row>
    <row r="331" spans="1:7" x14ac:dyDescent="0.25">
      <c r="A331" s="23">
        <v>2022</v>
      </c>
      <c r="B331" s="23" t="s">
        <v>192</v>
      </c>
      <c r="C331" s="23" t="s">
        <v>199</v>
      </c>
      <c r="D331" s="23" t="s">
        <v>190</v>
      </c>
      <c r="E331" s="23">
        <v>53</v>
      </c>
      <c r="F331" s="23">
        <v>60</v>
      </c>
      <c r="G331" s="23">
        <v>113</v>
      </c>
    </row>
    <row r="332" spans="1:7" x14ac:dyDescent="0.25">
      <c r="A332" s="23">
        <v>2022</v>
      </c>
      <c r="B332" s="23" t="s">
        <v>192</v>
      </c>
      <c r="C332" s="23" t="s">
        <v>200</v>
      </c>
      <c r="D332" s="23" t="s">
        <v>188</v>
      </c>
      <c r="E332" s="23">
        <v>165</v>
      </c>
      <c r="F332" s="23">
        <v>52</v>
      </c>
      <c r="G332" s="23">
        <v>217</v>
      </c>
    </row>
    <row r="333" spans="1:7" x14ac:dyDescent="0.25">
      <c r="A333" s="23">
        <v>2022</v>
      </c>
      <c r="B333" s="23" t="s">
        <v>192</v>
      </c>
      <c r="C333" s="23" t="s">
        <v>200</v>
      </c>
      <c r="D333" s="23" t="s">
        <v>190</v>
      </c>
      <c r="E333" s="23">
        <v>209</v>
      </c>
      <c r="F333" s="23">
        <v>31</v>
      </c>
      <c r="G333" s="23">
        <v>240</v>
      </c>
    </row>
    <row r="334" spans="1:7" x14ac:dyDescent="0.25">
      <c r="A334" s="23">
        <v>2022</v>
      </c>
      <c r="B334" s="23" t="s">
        <v>192</v>
      </c>
      <c r="C334" s="23" t="s">
        <v>201</v>
      </c>
      <c r="D334" s="23" t="s">
        <v>188</v>
      </c>
      <c r="E334" s="23">
        <v>161</v>
      </c>
      <c r="F334" s="23">
        <v>21</v>
      </c>
      <c r="G334" s="23">
        <v>182</v>
      </c>
    </row>
    <row r="335" spans="1:7" x14ac:dyDescent="0.25">
      <c r="A335" s="23">
        <v>2022</v>
      </c>
      <c r="B335" s="23" t="s">
        <v>192</v>
      </c>
      <c r="C335" s="23" t="s">
        <v>201</v>
      </c>
      <c r="D335" s="23" t="s">
        <v>190</v>
      </c>
      <c r="E335" s="23">
        <v>214</v>
      </c>
      <c r="F335" s="23">
        <v>93</v>
      </c>
      <c r="G335" s="23">
        <v>307</v>
      </c>
    </row>
    <row r="336" spans="1:7" x14ac:dyDescent="0.25">
      <c r="A336" s="23">
        <v>2022</v>
      </c>
      <c r="B336" s="23" t="s">
        <v>192</v>
      </c>
      <c r="C336" s="23" t="s">
        <v>202</v>
      </c>
      <c r="D336" s="23" t="s">
        <v>188</v>
      </c>
      <c r="E336" s="23">
        <v>175</v>
      </c>
      <c r="F336" s="23">
        <v>24</v>
      </c>
      <c r="G336" s="23">
        <v>199</v>
      </c>
    </row>
    <row r="337" spans="1:7" x14ac:dyDescent="0.25">
      <c r="A337" s="23">
        <v>2022</v>
      </c>
      <c r="B337" s="23" t="s">
        <v>192</v>
      </c>
      <c r="C337" s="23" t="s">
        <v>202</v>
      </c>
      <c r="D337" s="23" t="s">
        <v>190</v>
      </c>
      <c r="E337" s="23">
        <v>242</v>
      </c>
      <c r="F337" s="23">
        <v>53</v>
      </c>
      <c r="G337" s="23">
        <v>295</v>
      </c>
    </row>
    <row r="338" spans="1:7" x14ac:dyDescent="0.25">
      <c r="A338" s="23">
        <v>2022</v>
      </c>
      <c r="B338" s="23" t="s">
        <v>196</v>
      </c>
      <c r="C338" s="23" t="s">
        <v>181</v>
      </c>
      <c r="D338" s="23" t="s">
        <v>188</v>
      </c>
      <c r="E338" s="23">
        <v>145</v>
      </c>
      <c r="F338" s="23">
        <v>77</v>
      </c>
      <c r="G338" s="23">
        <v>222</v>
      </c>
    </row>
    <row r="339" spans="1:7" x14ac:dyDescent="0.25">
      <c r="A339" s="23">
        <v>2022</v>
      </c>
      <c r="B339" s="23" t="s">
        <v>196</v>
      </c>
      <c r="C339" s="23" t="s">
        <v>181</v>
      </c>
      <c r="D339" s="23" t="s">
        <v>190</v>
      </c>
      <c r="E339" s="23">
        <v>139</v>
      </c>
      <c r="F339" s="23">
        <v>19</v>
      </c>
      <c r="G339" s="23">
        <v>158</v>
      </c>
    </row>
    <row r="340" spans="1:7" x14ac:dyDescent="0.25">
      <c r="A340" s="23">
        <v>2022</v>
      </c>
      <c r="B340" s="23" t="s">
        <v>196</v>
      </c>
      <c r="C340" s="23" t="s">
        <v>182</v>
      </c>
      <c r="D340" s="23" t="s">
        <v>188</v>
      </c>
      <c r="E340" s="23">
        <v>238</v>
      </c>
      <c r="F340" s="23">
        <v>70</v>
      </c>
      <c r="G340" s="23">
        <v>308</v>
      </c>
    </row>
    <row r="341" spans="1:7" x14ac:dyDescent="0.25">
      <c r="A341" s="23">
        <v>2022</v>
      </c>
      <c r="B341" s="23" t="s">
        <v>196</v>
      </c>
      <c r="C341" s="23" t="s">
        <v>182</v>
      </c>
      <c r="D341" s="23" t="s">
        <v>190</v>
      </c>
      <c r="E341" s="23">
        <v>235</v>
      </c>
      <c r="F341" s="23">
        <v>98</v>
      </c>
      <c r="G341" s="23">
        <v>333</v>
      </c>
    </row>
    <row r="342" spans="1:7" x14ac:dyDescent="0.25">
      <c r="A342" s="23">
        <v>2022</v>
      </c>
      <c r="B342" s="23" t="s">
        <v>196</v>
      </c>
      <c r="C342" s="23" t="s">
        <v>197</v>
      </c>
      <c r="D342" s="23" t="s">
        <v>188</v>
      </c>
      <c r="E342" s="23">
        <v>223</v>
      </c>
      <c r="F342" s="23">
        <v>105</v>
      </c>
      <c r="G342" s="23">
        <v>328</v>
      </c>
    </row>
    <row r="343" spans="1:7" x14ac:dyDescent="0.25">
      <c r="A343" s="23">
        <v>2022</v>
      </c>
      <c r="B343" s="23" t="s">
        <v>196</v>
      </c>
      <c r="C343" s="23" t="s">
        <v>197</v>
      </c>
      <c r="D343" s="23" t="s">
        <v>190</v>
      </c>
      <c r="E343" s="23">
        <v>248</v>
      </c>
      <c r="F343" s="23">
        <v>44</v>
      </c>
      <c r="G343" s="23">
        <v>292</v>
      </c>
    </row>
    <row r="344" spans="1:7" x14ac:dyDescent="0.25">
      <c r="A344" s="23">
        <v>2022</v>
      </c>
      <c r="B344" s="23" t="s">
        <v>196</v>
      </c>
      <c r="C344" s="23" t="s">
        <v>198</v>
      </c>
      <c r="D344" s="23" t="s">
        <v>188</v>
      </c>
      <c r="E344" s="23">
        <v>175</v>
      </c>
      <c r="F344" s="23">
        <v>96</v>
      </c>
      <c r="G344" s="23">
        <v>271</v>
      </c>
    </row>
    <row r="345" spans="1:7" x14ac:dyDescent="0.25">
      <c r="A345" s="23">
        <v>2022</v>
      </c>
      <c r="B345" s="23" t="s">
        <v>196</v>
      </c>
      <c r="C345" s="23" t="s">
        <v>198</v>
      </c>
      <c r="D345" s="23" t="s">
        <v>190</v>
      </c>
      <c r="E345" s="23">
        <v>177</v>
      </c>
      <c r="F345" s="23">
        <v>45</v>
      </c>
      <c r="G345" s="23">
        <v>222</v>
      </c>
    </row>
    <row r="346" spans="1:7" x14ac:dyDescent="0.25">
      <c r="A346" s="23">
        <v>2022</v>
      </c>
      <c r="B346" s="23" t="s">
        <v>196</v>
      </c>
      <c r="C346" s="23" t="s">
        <v>199</v>
      </c>
      <c r="D346" s="23" t="s">
        <v>188</v>
      </c>
      <c r="E346" s="23">
        <v>228</v>
      </c>
      <c r="F346" s="23">
        <v>58</v>
      </c>
      <c r="G346" s="23">
        <v>286</v>
      </c>
    </row>
    <row r="347" spans="1:7" x14ac:dyDescent="0.25">
      <c r="A347" s="23">
        <v>2022</v>
      </c>
      <c r="B347" s="23" t="s">
        <v>196</v>
      </c>
      <c r="C347" s="23" t="s">
        <v>199</v>
      </c>
      <c r="D347" s="23" t="s">
        <v>190</v>
      </c>
      <c r="E347" s="23">
        <v>57</v>
      </c>
      <c r="F347" s="23">
        <v>88</v>
      </c>
      <c r="G347" s="23">
        <v>145</v>
      </c>
    </row>
    <row r="348" spans="1:7" x14ac:dyDescent="0.25">
      <c r="A348" s="23">
        <v>2022</v>
      </c>
      <c r="B348" s="23" t="s">
        <v>196</v>
      </c>
      <c r="C348" s="23" t="s">
        <v>200</v>
      </c>
      <c r="D348" s="23" t="s">
        <v>188</v>
      </c>
      <c r="E348" s="23">
        <v>50</v>
      </c>
      <c r="F348" s="23">
        <v>46</v>
      </c>
      <c r="G348" s="23">
        <v>96</v>
      </c>
    </row>
    <row r="349" spans="1:7" x14ac:dyDescent="0.25">
      <c r="A349" s="23">
        <v>2022</v>
      </c>
      <c r="B349" s="23" t="s">
        <v>196</v>
      </c>
      <c r="C349" s="23" t="s">
        <v>200</v>
      </c>
      <c r="D349" s="23" t="s">
        <v>190</v>
      </c>
      <c r="E349" s="23">
        <v>86</v>
      </c>
      <c r="F349" s="23">
        <v>43</v>
      </c>
      <c r="G349" s="23">
        <v>129</v>
      </c>
    </row>
    <row r="350" spans="1:7" x14ac:dyDescent="0.25">
      <c r="A350" s="23">
        <v>2022</v>
      </c>
      <c r="B350" s="23" t="s">
        <v>196</v>
      </c>
      <c r="C350" s="23" t="s">
        <v>201</v>
      </c>
      <c r="D350" s="23" t="s">
        <v>188</v>
      </c>
      <c r="E350" s="23">
        <v>214</v>
      </c>
      <c r="F350" s="23">
        <v>14</v>
      </c>
      <c r="G350" s="23">
        <v>228</v>
      </c>
    </row>
    <row r="351" spans="1:7" x14ac:dyDescent="0.25">
      <c r="A351" s="23">
        <v>2022</v>
      </c>
      <c r="B351" s="23" t="s">
        <v>196</v>
      </c>
      <c r="C351" s="23" t="s">
        <v>201</v>
      </c>
      <c r="D351" s="23" t="s">
        <v>190</v>
      </c>
      <c r="E351" s="23">
        <v>83</v>
      </c>
      <c r="F351" s="23">
        <v>102</v>
      </c>
      <c r="G351" s="23">
        <v>185</v>
      </c>
    </row>
    <row r="352" spans="1:7" x14ac:dyDescent="0.25">
      <c r="A352" s="23">
        <v>2022</v>
      </c>
      <c r="B352" s="23" t="s">
        <v>196</v>
      </c>
      <c r="C352" s="23" t="s">
        <v>202</v>
      </c>
      <c r="D352" s="23" t="s">
        <v>188</v>
      </c>
      <c r="E352" s="23">
        <v>77</v>
      </c>
      <c r="F352" s="23">
        <v>22</v>
      </c>
      <c r="G352" s="23">
        <v>99</v>
      </c>
    </row>
    <row r="353" spans="1:7" x14ac:dyDescent="0.25">
      <c r="A353" s="23">
        <v>2022</v>
      </c>
      <c r="B353" s="23" t="s">
        <v>196</v>
      </c>
      <c r="C353" s="23" t="s">
        <v>202</v>
      </c>
      <c r="D353" s="23" t="s">
        <v>190</v>
      </c>
      <c r="E353" s="23">
        <v>69</v>
      </c>
      <c r="F353" s="23">
        <v>43</v>
      </c>
      <c r="G353" s="23">
        <v>112</v>
      </c>
    </row>
    <row r="354" spans="1:7" x14ac:dyDescent="0.25">
      <c r="A354" s="23">
        <v>2022</v>
      </c>
      <c r="B354" s="23" t="s">
        <v>194</v>
      </c>
      <c r="C354" s="23" t="s">
        <v>181</v>
      </c>
      <c r="D354" s="23" t="s">
        <v>188</v>
      </c>
      <c r="E354" s="23">
        <v>207</v>
      </c>
      <c r="F354" s="23">
        <v>107</v>
      </c>
      <c r="G354" s="23">
        <v>314</v>
      </c>
    </row>
    <row r="355" spans="1:7" x14ac:dyDescent="0.25">
      <c r="A355" s="23">
        <v>2022</v>
      </c>
      <c r="B355" s="23" t="s">
        <v>194</v>
      </c>
      <c r="C355" s="23" t="s">
        <v>181</v>
      </c>
      <c r="D355" s="23" t="s">
        <v>190</v>
      </c>
      <c r="E355" s="23">
        <v>232</v>
      </c>
      <c r="F355" s="23">
        <v>84</v>
      </c>
      <c r="G355" s="23">
        <v>316</v>
      </c>
    </row>
    <row r="356" spans="1:7" x14ac:dyDescent="0.25">
      <c r="A356" s="23">
        <v>2022</v>
      </c>
      <c r="B356" s="23" t="s">
        <v>194</v>
      </c>
      <c r="C356" s="23" t="s">
        <v>182</v>
      </c>
      <c r="D356" s="23" t="s">
        <v>188</v>
      </c>
      <c r="E356" s="23">
        <v>239</v>
      </c>
      <c r="F356" s="23">
        <v>82</v>
      </c>
      <c r="G356" s="23">
        <v>321</v>
      </c>
    </row>
    <row r="357" spans="1:7" x14ac:dyDescent="0.25">
      <c r="A357" s="23">
        <v>2022</v>
      </c>
      <c r="B357" s="23" t="s">
        <v>194</v>
      </c>
      <c r="C357" s="23" t="s">
        <v>182</v>
      </c>
      <c r="D357" s="23" t="s">
        <v>190</v>
      </c>
      <c r="E357" s="23">
        <v>241</v>
      </c>
      <c r="F357" s="23">
        <v>56</v>
      </c>
      <c r="G357" s="23">
        <v>297</v>
      </c>
    </row>
    <row r="358" spans="1:7" x14ac:dyDescent="0.25">
      <c r="A358" s="23">
        <v>2022</v>
      </c>
      <c r="B358" s="23" t="s">
        <v>194</v>
      </c>
      <c r="C358" s="23" t="s">
        <v>197</v>
      </c>
      <c r="D358" s="23" t="s">
        <v>188</v>
      </c>
      <c r="E358" s="23">
        <v>157</v>
      </c>
      <c r="F358" s="23">
        <v>96</v>
      </c>
      <c r="G358" s="23">
        <v>253</v>
      </c>
    </row>
    <row r="359" spans="1:7" x14ac:dyDescent="0.25">
      <c r="A359" s="23">
        <v>2022</v>
      </c>
      <c r="B359" s="23" t="s">
        <v>194</v>
      </c>
      <c r="C359" s="23" t="s">
        <v>197</v>
      </c>
      <c r="D359" s="23" t="s">
        <v>190</v>
      </c>
      <c r="E359" s="23">
        <v>158</v>
      </c>
      <c r="F359" s="23">
        <v>18</v>
      </c>
      <c r="G359" s="23">
        <v>176</v>
      </c>
    </row>
    <row r="360" spans="1:7" x14ac:dyDescent="0.25">
      <c r="A360" s="23">
        <v>2022</v>
      </c>
      <c r="B360" s="23" t="s">
        <v>194</v>
      </c>
      <c r="C360" s="23" t="s">
        <v>198</v>
      </c>
      <c r="D360" s="23" t="s">
        <v>188</v>
      </c>
      <c r="E360" s="23">
        <v>123</v>
      </c>
      <c r="F360" s="23">
        <v>78</v>
      </c>
      <c r="G360" s="23">
        <v>201</v>
      </c>
    </row>
    <row r="361" spans="1:7" x14ac:dyDescent="0.25">
      <c r="A361" s="23">
        <v>2022</v>
      </c>
      <c r="B361" s="23" t="s">
        <v>194</v>
      </c>
      <c r="C361" s="23" t="s">
        <v>198</v>
      </c>
      <c r="D361" s="23" t="s">
        <v>190</v>
      </c>
      <c r="E361" s="23">
        <v>251</v>
      </c>
      <c r="F361" s="23">
        <v>81</v>
      </c>
      <c r="G361" s="23">
        <v>332</v>
      </c>
    </row>
    <row r="362" spans="1:7" x14ac:dyDescent="0.25">
      <c r="A362" s="23">
        <v>2022</v>
      </c>
      <c r="B362" s="23" t="s">
        <v>194</v>
      </c>
      <c r="C362" s="23" t="s">
        <v>199</v>
      </c>
      <c r="D362" s="23" t="s">
        <v>188</v>
      </c>
      <c r="E362" s="23">
        <v>146</v>
      </c>
      <c r="F362" s="23">
        <v>107</v>
      </c>
      <c r="G362" s="23">
        <v>253</v>
      </c>
    </row>
    <row r="363" spans="1:7" x14ac:dyDescent="0.25">
      <c r="A363" s="23">
        <v>2022</v>
      </c>
      <c r="B363" s="23" t="s">
        <v>194</v>
      </c>
      <c r="C363" s="23" t="s">
        <v>199</v>
      </c>
      <c r="D363" s="23" t="s">
        <v>190</v>
      </c>
      <c r="E363" s="23">
        <v>245</v>
      </c>
      <c r="F363" s="23">
        <v>110</v>
      </c>
      <c r="G363" s="23">
        <v>355</v>
      </c>
    </row>
    <row r="364" spans="1:7" x14ac:dyDescent="0.25">
      <c r="A364" s="23">
        <v>2022</v>
      </c>
      <c r="B364" s="23" t="s">
        <v>194</v>
      </c>
      <c r="C364" s="23" t="s">
        <v>200</v>
      </c>
      <c r="D364" s="23" t="s">
        <v>188</v>
      </c>
      <c r="E364" s="23">
        <v>62</v>
      </c>
      <c r="F364" s="23">
        <v>34</v>
      </c>
      <c r="G364" s="23">
        <v>96</v>
      </c>
    </row>
    <row r="365" spans="1:7" x14ac:dyDescent="0.25">
      <c r="A365" s="23">
        <v>2022</v>
      </c>
      <c r="B365" s="23" t="s">
        <v>194</v>
      </c>
      <c r="C365" s="23" t="s">
        <v>200</v>
      </c>
      <c r="D365" s="23" t="s">
        <v>190</v>
      </c>
      <c r="E365" s="23">
        <v>240</v>
      </c>
      <c r="F365" s="23">
        <v>38</v>
      </c>
      <c r="G365" s="23">
        <v>278</v>
      </c>
    </row>
    <row r="366" spans="1:7" x14ac:dyDescent="0.25">
      <c r="A366" s="23">
        <v>2022</v>
      </c>
      <c r="B366" s="23" t="s">
        <v>194</v>
      </c>
      <c r="C366" s="23" t="s">
        <v>201</v>
      </c>
      <c r="D366" s="23" t="s">
        <v>188</v>
      </c>
      <c r="E366" s="23">
        <v>214</v>
      </c>
      <c r="F366" s="23">
        <v>15</v>
      </c>
      <c r="G366" s="23">
        <v>229</v>
      </c>
    </row>
    <row r="367" spans="1:7" x14ac:dyDescent="0.25">
      <c r="A367" s="23">
        <v>2022</v>
      </c>
      <c r="B367" s="23" t="s">
        <v>194</v>
      </c>
      <c r="C367" s="23" t="s">
        <v>201</v>
      </c>
      <c r="D367" s="23" t="s">
        <v>190</v>
      </c>
      <c r="E367" s="23">
        <v>129</v>
      </c>
      <c r="F367" s="23">
        <v>27</v>
      </c>
      <c r="G367" s="23">
        <v>156</v>
      </c>
    </row>
    <row r="368" spans="1:7" x14ac:dyDescent="0.25">
      <c r="A368" s="23">
        <v>2022</v>
      </c>
      <c r="B368" s="23" t="s">
        <v>194</v>
      </c>
      <c r="C368" s="23" t="s">
        <v>202</v>
      </c>
      <c r="D368" s="23" t="s">
        <v>188</v>
      </c>
      <c r="E368" s="23">
        <v>187</v>
      </c>
      <c r="F368" s="23">
        <v>91</v>
      </c>
      <c r="G368" s="23">
        <v>278</v>
      </c>
    </row>
    <row r="369" spans="1:7" x14ac:dyDescent="0.25">
      <c r="A369" s="23">
        <v>2022</v>
      </c>
      <c r="B369" s="23" t="s">
        <v>194</v>
      </c>
      <c r="C369" s="23" t="s">
        <v>202</v>
      </c>
      <c r="D369" s="23" t="s">
        <v>190</v>
      </c>
      <c r="E369" s="23">
        <v>58</v>
      </c>
      <c r="F369" s="23">
        <v>72</v>
      </c>
      <c r="G369" s="23">
        <v>130</v>
      </c>
    </row>
    <row r="370" spans="1:7" x14ac:dyDescent="0.25">
      <c r="A370" s="23">
        <v>2022</v>
      </c>
      <c r="B370" s="23" t="s">
        <v>195</v>
      </c>
      <c r="C370" s="23" t="s">
        <v>181</v>
      </c>
      <c r="D370" s="23" t="s">
        <v>188</v>
      </c>
      <c r="E370" s="23">
        <v>98</v>
      </c>
      <c r="F370" s="14">
        <v>41</v>
      </c>
      <c r="G370" s="23">
        <v>139</v>
      </c>
    </row>
    <row r="371" spans="1:7" x14ac:dyDescent="0.25">
      <c r="A371" s="23">
        <v>2022</v>
      </c>
      <c r="B371" s="23" t="s">
        <v>195</v>
      </c>
      <c r="C371" s="23" t="s">
        <v>181</v>
      </c>
      <c r="D371" s="23" t="s">
        <v>190</v>
      </c>
      <c r="E371" s="23">
        <v>121</v>
      </c>
      <c r="F371" s="14">
        <v>13</v>
      </c>
      <c r="G371" s="23">
        <v>134</v>
      </c>
    </row>
    <row r="372" spans="1:7" x14ac:dyDescent="0.25">
      <c r="A372" s="23">
        <v>2022</v>
      </c>
      <c r="B372" s="23" t="s">
        <v>195</v>
      </c>
      <c r="C372" s="23" t="s">
        <v>182</v>
      </c>
      <c r="D372" s="23" t="s">
        <v>188</v>
      </c>
      <c r="E372" s="23">
        <v>174</v>
      </c>
      <c r="F372" s="14">
        <v>12</v>
      </c>
      <c r="G372" s="23">
        <v>186</v>
      </c>
    </row>
    <row r="373" spans="1:7" x14ac:dyDescent="0.25">
      <c r="A373" s="23">
        <v>2022</v>
      </c>
      <c r="B373" s="23" t="s">
        <v>195</v>
      </c>
      <c r="C373" s="23" t="s">
        <v>182</v>
      </c>
      <c r="D373" s="23" t="s">
        <v>190</v>
      </c>
      <c r="E373" s="23">
        <v>228</v>
      </c>
      <c r="F373" s="14">
        <v>85</v>
      </c>
      <c r="G373" s="23">
        <v>313</v>
      </c>
    </row>
    <row r="374" spans="1:7" x14ac:dyDescent="0.25">
      <c r="A374" s="23">
        <v>2022</v>
      </c>
      <c r="B374" s="23" t="s">
        <v>195</v>
      </c>
      <c r="C374" s="23" t="s">
        <v>197</v>
      </c>
      <c r="D374" s="23" t="s">
        <v>188</v>
      </c>
      <c r="E374" s="23">
        <v>193</v>
      </c>
      <c r="F374" s="14">
        <v>108</v>
      </c>
      <c r="G374" s="23">
        <v>301</v>
      </c>
    </row>
    <row r="375" spans="1:7" x14ac:dyDescent="0.25">
      <c r="A375" s="23">
        <v>2022</v>
      </c>
      <c r="B375" s="23" t="s">
        <v>195</v>
      </c>
      <c r="C375" s="23" t="s">
        <v>197</v>
      </c>
      <c r="D375" s="23" t="s">
        <v>190</v>
      </c>
      <c r="E375" s="23">
        <v>154</v>
      </c>
      <c r="F375" s="14">
        <v>51</v>
      </c>
      <c r="G375" s="23">
        <v>205</v>
      </c>
    </row>
    <row r="376" spans="1:7" x14ac:dyDescent="0.25">
      <c r="A376" s="23">
        <v>2022</v>
      </c>
      <c r="B376" s="23" t="s">
        <v>195</v>
      </c>
      <c r="C376" s="23" t="s">
        <v>198</v>
      </c>
      <c r="D376" s="23" t="s">
        <v>188</v>
      </c>
      <c r="E376" s="23">
        <v>192</v>
      </c>
      <c r="F376" s="14">
        <v>51</v>
      </c>
      <c r="G376" s="23">
        <v>243</v>
      </c>
    </row>
    <row r="377" spans="1:7" x14ac:dyDescent="0.25">
      <c r="A377" s="23">
        <v>2022</v>
      </c>
      <c r="B377" s="23" t="s">
        <v>195</v>
      </c>
      <c r="C377" s="23" t="s">
        <v>198</v>
      </c>
      <c r="D377" s="23" t="s">
        <v>190</v>
      </c>
      <c r="E377" s="23">
        <v>160</v>
      </c>
      <c r="F377" s="14">
        <v>96</v>
      </c>
      <c r="G377" s="23">
        <v>256</v>
      </c>
    </row>
    <row r="378" spans="1:7" x14ac:dyDescent="0.25">
      <c r="A378" s="23">
        <v>2022</v>
      </c>
      <c r="B378" s="23" t="s">
        <v>195</v>
      </c>
      <c r="C378" s="23" t="s">
        <v>199</v>
      </c>
      <c r="D378" s="23" t="s">
        <v>188</v>
      </c>
      <c r="E378" s="23">
        <v>92</v>
      </c>
      <c r="F378" s="14">
        <v>27</v>
      </c>
      <c r="G378" s="23">
        <v>119</v>
      </c>
    </row>
    <row r="379" spans="1:7" x14ac:dyDescent="0.25">
      <c r="A379" s="23">
        <v>2022</v>
      </c>
      <c r="B379" s="23" t="s">
        <v>195</v>
      </c>
      <c r="C379" s="23" t="s">
        <v>199</v>
      </c>
      <c r="D379" s="23" t="s">
        <v>190</v>
      </c>
      <c r="E379" s="23">
        <v>127</v>
      </c>
      <c r="F379" s="14">
        <v>31</v>
      </c>
      <c r="G379" s="23">
        <v>158</v>
      </c>
    </row>
    <row r="380" spans="1:7" x14ac:dyDescent="0.25">
      <c r="A380" s="23">
        <v>2022</v>
      </c>
      <c r="B380" s="23" t="s">
        <v>195</v>
      </c>
      <c r="C380" s="23" t="s">
        <v>200</v>
      </c>
      <c r="D380" s="23" t="s">
        <v>188</v>
      </c>
      <c r="E380" s="23">
        <v>139</v>
      </c>
      <c r="F380" s="14">
        <v>89</v>
      </c>
      <c r="G380" s="23">
        <v>228</v>
      </c>
    </row>
    <row r="381" spans="1:7" x14ac:dyDescent="0.25">
      <c r="A381" s="23">
        <v>2022</v>
      </c>
      <c r="B381" s="23" t="s">
        <v>195</v>
      </c>
      <c r="C381" s="23" t="s">
        <v>200</v>
      </c>
      <c r="D381" s="23" t="s">
        <v>190</v>
      </c>
      <c r="E381" s="23">
        <v>208</v>
      </c>
      <c r="F381" s="14">
        <v>61</v>
      </c>
      <c r="G381" s="23">
        <v>269</v>
      </c>
    </row>
    <row r="382" spans="1:7" x14ac:dyDescent="0.25">
      <c r="A382" s="23">
        <v>2022</v>
      </c>
      <c r="B382" s="23" t="s">
        <v>195</v>
      </c>
      <c r="C382" s="23" t="s">
        <v>201</v>
      </c>
      <c r="D382" s="23" t="s">
        <v>188</v>
      </c>
      <c r="E382" s="23">
        <v>200</v>
      </c>
      <c r="F382" s="14">
        <v>47</v>
      </c>
      <c r="G382" s="23">
        <v>247</v>
      </c>
    </row>
    <row r="383" spans="1:7" x14ac:dyDescent="0.25">
      <c r="A383" s="23">
        <v>2022</v>
      </c>
      <c r="B383" s="23" t="s">
        <v>195</v>
      </c>
      <c r="C383" s="23" t="s">
        <v>201</v>
      </c>
      <c r="D383" s="23" t="s">
        <v>190</v>
      </c>
      <c r="E383" s="23">
        <v>176</v>
      </c>
      <c r="F383" s="14">
        <v>84</v>
      </c>
      <c r="G383" s="23">
        <v>260</v>
      </c>
    </row>
    <row r="384" spans="1:7" x14ac:dyDescent="0.25">
      <c r="A384" s="23">
        <v>2022</v>
      </c>
      <c r="B384" s="23" t="s">
        <v>195</v>
      </c>
      <c r="C384" s="23" t="s">
        <v>202</v>
      </c>
      <c r="D384" s="23" t="s">
        <v>188</v>
      </c>
      <c r="E384" s="23">
        <v>41</v>
      </c>
      <c r="F384" s="14">
        <v>13</v>
      </c>
      <c r="G384" s="23">
        <v>54</v>
      </c>
    </row>
    <row r="385" spans="1:7" x14ac:dyDescent="0.25">
      <c r="A385" s="23">
        <v>2022</v>
      </c>
      <c r="B385" s="23" t="s">
        <v>195</v>
      </c>
      <c r="C385" s="23" t="s">
        <v>202</v>
      </c>
      <c r="D385" s="23" t="s">
        <v>190</v>
      </c>
      <c r="E385" s="23">
        <v>126</v>
      </c>
      <c r="F385" s="14">
        <v>38</v>
      </c>
      <c r="G385" s="23">
        <v>164</v>
      </c>
    </row>
    <row r="386" spans="1:7" x14ac:dyDescent="0.25">
      <c r="A386" s="23">
        <v>2023</v>
      </c>
      <c r="B386" s="23" t="s">
        <v>187</v>
      </c>
      <c r="C386" s="23" t="s">
        <v>181</v>
      </c>
      <c r="D386" s="23" t="s">
        <v>188</v>
      </c>
      <c r="E386" s="23">
        <v>98</v>
      </c>
      <c r="F386" s="14">
        <v>96</v>
      </c>
      <c r="G386" s="23">
        <v>194</v>
      </c>
    </row>
    <row r="387" spans="1:7" x14ac:dyDescent="0.25">
      <c r="A387" s="23">
        <v>2023</v>
      </c>
      <c r="B387" s="23" t="s">
        <v>187</v>
      </c>
      <c r="C387" s="23" t="s">
        <v>181</v>
      </c>
      <c r="D387" s="23" t="s">
        <v>190</v>
      </c>
      <c r="E387" s="23">
        <v>172</v>
      </c>
      <c r="F387" s="14">
        <v>88</v>
      </c>
      <c r="G387" s="23">
        <v>260</v>
      </c>
    </row>
    <row r="388" spans="1:7" x14ac:dyDescent="0.25">
      <c r="A388" s="23">
        <v>2023</v>
      </c>
      <c r="B388" s="23" t="s">
        <v>187</v>
      </c>
      <c r="C388" s="23" t="s">
        <v>182</v>
      </c>
      <c r="D388" s="23" t="s">
        <v>188</v>
      </c>
      <c r="E388" s="23">
        <v>221</v>
      </c>
      <c r="F388" s="14">
        <v>32</v>
      </c>
      <c r="G388" s="23">
        <v>253</v>
      </c>
    </row>
    <row r="389" spans="1:7" x14ac:dyDescent="0.25">
      <c r="A389" s="23">
        <v>2023</v>
      </c>
      <c r="B389" s="23" t="s">
        <v>187</v>
      </c>
      <c r="C389" s="23" t="s">
        <v>182</v>
      </c>
      <c r="D389" s="23" t="s">
        <v>190</v>
      </c>
      <c r="E389" s="23">
        <v>235</v>
      </c>
      <c r="F389" s="14">
        <v>81</v>
      </c>
      <c r="G389" s="23">
        <v>316</v>
      </c>
    </row>
    <row r="390" spans="1:7" x14ac:dyDescent="0.25">
      <c r="A390" s="23">
        <v>2023</v>
      </c>
      <c r="B390" s="23" t="s">
        <v>187</v>
      </c>
      <c r="C390" s="23" t="s">
        <v>197</v>
      </c>
      <c r="D390" s="23" t="s">
        <v>188</v>
      </c>
      <c r="E390" s="23">
        <v>114</v>
      </c>
      <c r="F390" s="14">
        <v>50</v>
      </c>
      <c r="G390" s="23">
        <v>164</v>
      </c>
    </row>
    <row r="391" spans="1:7" x14ac:dyDescent="0.25">
      <c r="A391" s="23">
        <v>2023</v>
      </c>
      <c r="B391" s="23" t="s">
        <v>187</v>
      </c>
      <c r="C391" s="23" t="s">
        <v>197</v>
      </c>
      <c r="D391" s="23" t="s">
        <v>190</v>
      </c>
      <c r="E391" s="23">
        <v>158</v>
      </c>
      <c r="F391" s="14">
        <v>26</v>
      </c>
      <c r="G391" s="23">
        <v>184</v>
      </c>
    </row>
    <row r="392" spans="1:7" x14ac:dyDescent="0.25">
      <c r="A392" s="23">
        <v>2023</v>
      </c>
      <c r="B392" s="23" t="s">
        <v>187</v>
      </c>
      <c r="C392" s="23" t="s">
        <v>198</v>
      </c>
      <c r="D392" s="23" t="s">
        <v>188</v>
      </c>
      <c r="E392" s="23">
        <v>102</v>
      </c>
      <c r="F392" s="14">
        <v>63</v>
      </c>
      <c r="G392" s="23">
        <v>165</v>
      </c>
    </row>
    <row r="393" spans="1:7" x14ac:dyDescent="0.25">
      <c r="A393" s="23">
        <v>2023</v>
      </c>
      <c r="B393" s="23" t="s">
        <v>187</v>
      </c>
      <c r="C393" s="23" t="s">
        <v>198</v>
      </c>
      <c r="D393" s="23" t="s">
        <v>190</v>
      </c>
      <c r="E393" s="23">
        <v>71</v>
      </c>
      <c r="F393" s="14">
        <v>84</v>
      </c>
      <c r="G393" s="23">
        <v>155</v>
      </c>
    </row>
    <row r="394" spans="1:7" x14ac:dyDescent="0.25">
      <c r="A394" s="23">
        <v>2023</v>
      </c>
      <c r="B394" s="23" t="s">
        <v>187</v>
      </c>
      <c r="C394" s="23" t="s">
        <v>199</v>
      </c>
      <c r="D394" s="23" t="s">
        <v>188</v>
      </c>
      <c r="E394" s="23">
        <v>62</v>
      </c>
      <c r="F394" s="14">
        <v>57</v>
      </c>
      <c r="G394" s="23">
        <v>119</v>
      </c>
    </row>
    <row r="395" spans="1:7" x14ac:dyDescent="0.25">
      <c r="A395" s="23">
        <v>2023</v>
      </c>
      <c r="B395" s="23" t="s">
        <v>187</v>
      </c>
      <c r="C395" s="23" t="s">
        <v>199</v>
      </c>
      <c r="D395" s="23" t="s">
        <v>190</v>
      </c>
      <c r="E395" s="23">
        <v>65</v>
      </c>
      <c r="F395" s="14">
        <v>88</v>
      </c>
      <c r="G395" s="23">
        <v>153</v>
      </c>
    </row>
    <row r="396" spans="1:7" x14ac:dyDescent="0.25">
      <c r="A396" s="23">
        <v>2023</v>
      </c>
      <c r="B396" s="23" t="s">
        <v>187</v>
      </c>
      <c r="C396" s="23" t="s">
        <v>200</v>
      </c>
      <c r="D396" s="23" t="s">
        <v>188</v>
      </c>
      <c r="E396" s="23">
        <v>54</v>
      </c>
      <c r="F396" s="14">
        <v>42</v>
      </c>
      <c r="G396" s="23">
        <v>96</v>
      </c>
    </row>
    <row r="397" spans="1:7" x14ac:dyDescent="0.25">
      <c r="A397" s="23">
        <v>2023</v>
      </c>
      <c r="B397" s="23" t="s">
        <v>187</v>
      </c>
      <c r="C397" s="23" t="s">
        <v>200</v>
      </c>
      <c r="D397" s="23" t="s">
        <v>190</v>
      </c>
      <c r="E397" s="23">
        <v>182</v>
      </c>
      <c r="F397" s="14">
        <v>39</v>
      </c>
      <c r="G397" s="23">
        <v>221</v>
      </c>
    </row>
    <row r="398" spans="1:7" x14ac:dyDescent="0.25">
      <c r="A398" s="23">
        <v>2023</v>
      </c>
      <c r="B398" s="23" t="s">
        <v>187</v>
      </c>
      <c r="C398" s="23" t="s">
        <v>201</v>
      </c>
      <c r="D398" s="23" t="s">
        <v>188</v>
      </c>
      <c r="E398" s="23">
        <v>144</v>
      </c>
      <c r="F398" s="14">
        <v>110</v>
      </c>
      <c r="G398" s="23">
        <v>254</v>
      </c>
    </row>
    <row r="399" spans="1:7" x14ac:dyDescent="0.25">
      <c r="A399" s="23">
        <v>2023</v>
      </c>
      <c r="B399" s="23" t="s">
        <v>187</v>
      </c>
      <c r="C399" s="23" t="s">
        <v>201</v>
      </c>
      <c r="D399" s="23" t="s">
        <v>190</v>
      </c>
      <c r="E399" s="23">
        <v>112</v>
      </c>
      <c r="F399" s="14">
        <v>82</v>
      </c>
      <c r="G399" s="23">
        <v>194</v>
      </c>
    </row>
    <row r="400" spans="1:7" x14ac:dyDescent="0.25">
      <c r="A400" s="23">
        <v>2023</v>
      </c>
      <c r="B400" s="23" t="s">
        <v>187</v>
      </c>
      <c r="C400" s="23" t="s">
        <v>202</v>
      </c>
      <c r="D400" s="23" t="s">
        <v>188</v>
      </c>
      <c r="E400" s="23">
        <v>170</v>
      </c>
      <c r="F400" s="14">
        <v>88</v>
      </c>
      <c r="G400" s="23">
        <v>258</v>
      </c>
    </row>
    <row r="401" spans="1:7" x14ac:dyDescent="0.25">
      <c r="A401" s="23">
        <v>2023</v>
      </c>
      <c r="B401" s="23" t="s">
        <v>187</v>
      </c>
      <c r="C401" s="23" t="s">
        <v>202</v>
      </c>
      <c r="D401" s="23" t="s">
        <v>190</v>
      </c>
      <c r="E401" s="23">
        <v>196</v>
      </c>
      <c r="F401" s="14">
        <v>50</v>
      </c>
      <c r="G401" s="23">
        <v>246</v>
      </c>
    </row>
    <row r="402" spans="1:7" x14ac:dyDescent="0.25">
      <c r="A402" s="23">
        <v>2023</v>
      </c>
      <c r="B402" s="23" t="s">
        <v>189</v>
      </c>
      <c r="C402" s="23" t="s">
        <v>181</v>
      </c>
      <c r="D402" s="23" t="s">
        <v>188</v>
      </c>
      <c r="E402" s="23">
        <v>228</v>
      </c>
      <c r="F402" s="14">
        <v>76</v>
      </c>
      <c r="G402" s="23">
        <v>304</v>
      </c>
    </row>
    <row r="403" spans="1:7" x14ac:dyDescent="0.25">
      <c r="A403" s="23">
        <v>2023</v>
      </c>
      <c r="B403" s="23" t="s">
        <v>189</v>
      </c>
      <c r="C403" s="23" t="s">
        <v>181</v>
      </c>
      <c r="D403" s="23" t="s">
        <v>190</v>
      </c>
      <c r="E403" s="23">
        <v>239</v>
      </c>
      <c r="F403" s="14">
        <v>82</v>
      </c>
      <c r="G403" s="23">
        <v>321</v>
      </c>
    </row>
    <row r="404" spans="1:7" x14ac:dyDescent="0.25">
      <c r="A404" s="23">
        <v>2023</v>
      </c>
      <c r="B404" s="23" t="s">
        <v>189</v>
      </c>
      <c r="C404" s="23" t="s">
        <v>182</v>
      </c>
      <c r="D404" s="23" t="s">
        <v>188</v>
      </c>
      <c r="E404" s="23">
        <v>219</v>
      </c>
      <c r="F404" s="14">
        <v>107</v>
      </c>
      <c r="G404" s="23">
        <v>326</v>
      </c>
    </row>
    <row r="405" spans="1:7" x14ac:dyDescent="0.25">
      <c r="A405" s="23">
        <v>2023</v>
      </c>
      <c r="B405" s="23" t="s">
        <v>189</v>
      </c>
      <c r="C405" s="23" t="s">
        <v>182</v>
      </c>
      <c r="D405" s="23" t="s">
        <v>190</v>
      </c>
      <c r="E405" s="23">
        <v>205</v>
      </c>
      <c r="F405" s="14">
        <v>47</v>
      </c>
      <c r="G405" s="23">
        <v>252</v>
      </c>
    </row>
    <row r="406" spans="1:7" x14ac:dyDescent="0.25">
      <c r="A406" s="23">
        <v>2023</v>
      </c>
      <c r="B406" s="23" t="s">
        <v>189</v>
      </c>
      <c r="C406" s="23" t="s">
        <v>197</v>
      </c>
      <c r="D406" s="23" t="s">
        <v>188</v>
      </c>
      <c r="E406" s="23">
        <v>129</v>
      </c>
      <c r="F406" s="14">
        <v>40</v>
      </c>
      <c r="G406" s="23">
        <v>169</v>
      </c>
    </row>
    <row r="407" spans="1:7" x14ac:dyDescent="0.25">
      <c r="A407" s="23">
        <v>2023</v>
      </c>
      <c r="B407" s="23" t="s">
        <v>189</v>
      </c>
      <c r="C407" s="23" t="s">
        <v>197</v>
      </c>
      <c r="D407" s="23" t="s">
        <v>190</v>
      </c>
      <c r="E407" s="23">
        <v>48</v>
      </c>
      <c r="F407" s="14">
        <v>48</v>
      </c>
      <c r="G407" s="23">
        <v>96</v>
      </c>
    </row>
    <row r="408" spans="1:7" x14ac:dyDescent="0.25">
      <c r="A408" s="23">
        <v>2023</v>
      </c>
      <c r="B408" s="23" t="s">
        <v>189</v>
      </c>
      <c r="C408" s="23" t="s">
        <v>198</v>
      </c>
      <c r="D408" s="23" t="s">
        <v>188</v>
      </c>
      <c r="E408" s="23">
        <v>177</v>
      </c>
      <c r="F408" s="14">
        <v>90</v>
      </c>
      <c r="G408" s="23">
        <v>267</v>
      </c>
    </row>
    <row r="409" spans="1:7" x14ac:dyDescent="0.25">
      <c r="A409" s="23">
        <v>2023</v>
      </c>
      <c r="B409" s="23" t="s">
        <v>189</v>
      </c>
      <c r="C409" s="23" t="s">
        <v>198</v>
      </c>
      <c r="D409" s="23" t="s">
        <v>190</v>
      </c>
      <c r="E409" s="23">
        <v>83</v>
      </c>
      <c r="F409" s="14">
        <v>83</v>
      </c>
      <c r="G409" s="23">
        <v>166</v>
      </c>
    </row>
    <row r="410" spans="1:7" x14ac:dyDescent="0.25">
      <c r="A410" s="23">
        <v>2023</v>
      </c>
      <c r="B410" s="23" t="s">
        <v>189</v>
      </c>
      <c r="C410" s="23" t="s">
        <v>199</v>
      </c>
      <c r="D410" s="23" t="s">
        <v>188</v>
      </c>
      <c r="E410" s="23">
        <v>138</v>
      </c>
      <c r="F410" s="14">
        <v>106</v>
      </c>
      <c r="G410" s="23">
        <v>244</v>
      </c>
    </row>
    <row r="411" spans="1:7" x14ac:dyDescent="0.25">
      <c r="A411" s="23">
        <v>2023</v>
      </c>
      <c r="B411" s="23" t="s">
        <v>189</v>
      </c>
      <c r="C411" s="23" t="s">
        <v>199</v>
      </c>
      <c r="D411" s="23" t="s">
        <v>190</v>
      </c>
      <c r="E411" s="23">
        <v>77</v>
      </c>
      <c r="F411" s="14">
        <v>10</v>
      </c>
      <c r="G411" s="23">
        <v>87</v>
      </c>
    </row>
    <row r="412" spans="1:7" x14ac:dyDescent="0.25">
      <c r="A412" s="23">
        <v>2023</v>
      </c>
      <c r="B412" s="23" t="s">
        <v>189</v>
      </c>
      <c r="C412" s="23" t="s">
        <v>200</v>
      </c>
      <c r="D412" s="23" t="s">
        <v>188</v>
      </c>
      <c r="E412" s="23">
        <v>157</v>
      </c>
      <c r="F412" s="14">
        <v>10</v>
      </c>
      <c r="G412" s="23">
        <v>167</v>
      </c>
    </row>
    <row r="413" spans="1:7" x14ac:dyDescent="0.25">
      <c r="A413" s="23">
        <v>2023</v>
      </c>
      <c r="B413" s="23" t="s">
        <v>189</v>
      </c>
      <c r="C413" s="23" t="s">
        <v>200</v>
      </c>
      <c r="D413" s="23" t="s">
        <v>190</v>
      </c>
      <c r="E413" s="23">
        <v>128</v>
      </c>
      <c r="F413" s="14">
        <v>62</v>
      </c>
      <c r="G413" s="23">
        <v>190</v>
      </c>
    </row>
    <row r="414" spans="1:7" x14ac:dyDescent="0.25">
      <c r="A414" s="23">
        <v>2023</v>
      </c>
      <c r="B414" s="23" t="s">
        <v>189</v>
      </c>
      <c r="C414" s="23" t="s">
        <v>201</v>
      </c>
      <c r="D414" s="23" t="s">
        <v>188</v>
      </c>
      <c r="E414" s="23">
        <v>220</v>
      </c>
      <c r="F414" s="14">
        <v>92</v>
      </c>
      <c r="G414" s="23">
        <v>312</v>
      </c>
    </row>
    <row r="415" spans="1:7" x14ac:dyDescent="0.25">
      <c r="A415" s="23">
        <v>2023</v>
      </c>
      <c r="B415" s="23" t="s">
        <v>189</v>
      </c>
      <c r="C415" s="23" t="s">
        <v>201</v>
      </c>
      <c r="D415" s="23" t="s">
        <v>190</v>
      </c>
      <c r="E415" s="23">
        <v>105</v>
      </c>
      <c r="F415" s="14">
        <v>25</v>
      </c>
      <c r="G415" s="23">
        <v>130</v>
      </c>
    </row>
    <row r="416" spans="1:7" x14ac:dyDescent="0.25">
      <c r="A416" s="23">
        <v>2023</v>
      </c>
      <c r="B416" s="23" t="s">
        <v>189</v>
      </c>
      <c r="C416" s="23" t="s">
        <v>202</v>
      </c>
      <c r="D416" s="23" t="s">
        <v>188</v>
      </c>
      <c r="E416" s="23">
        <v>260</v>
      </c>
      <c r="F416" s="14">
        <v>101</v>
      </c>
      <c r="G416" s="23">
        <v>361</v>
      </c>
    </row>
    <row r="417" spans="1:7" x14ac:dyDescent="0.25">
      <c r="A417" s="23">
        <v>2023</v>
      </c>
      <c r="B417" s="23" t="s">
        <v>189</v>
      </c>
      <c r="C417" s="23" t="s">
        <v>202</v>
      </c>
      <c r="D417" s="23" t="s">
        <v>190</v>
      </c>
      <c r="E417" s="23">
        <v>42</v>
      </c>
      <c r="F417" s="14">
        <v>45</v>
      </c>
      <c r="G417" s="23">
        <v>87</v>
      </c>
    </row>
    <row r="418" spans="1:7" x14ac:dyDescent="0.25">
      <c r="A418" s="23">
        <v>2023</v>
      </c>
      <c r="B418" s="23" t="s">
        <v>191</v>
      </c>
      <c r="C418" s="23" t="s">
        <v>181</v>
      </c>
      <c r="D418" s="23" t="s">
        <v>188</v>
      </c>
      <c r="E418" s="23">
        <v>151</v>
      </c>
      <c r="F418" s="14">
        <v>59</v>
      </c>
      <c r="G418" s="23">
        <v>210</v>
      </c>
    </row>
    <row r="419" spans="1:7" x14ac:dyDescent="0.25">
      <c r="A419" s="23">
        <v>2023</v>
      </c>
      <c r="B419" s="23" t="s">
        <v>191</v>
      </c>
      <c r="C419" s="23" t="s">
        <v>181</v>
      </c>
      <c r="D419" s="23" t="s">
        <v>190</v>
      </c>
      <c r="E419" s="23">
        <v>258</v>
      </c>
      <c r="F419" s="14">
        <v>60</v>
      </c>
      <c r="G419" s="23">
        <v>318</v>
      </c>
    </row>
    <row r="420" spans="1:7" x14ac:dyDescent="0.25">
      <c r="A420" s="23">
        <v>2023</v>
      </c>
      <c r="B420" s="23" t="s">
        <v>191</v>
      </c>
      <c r="C420" s="23" t="s">
        <v>182</v>
      </c>
      <c r="D420" s="23" t="s">
        <v>188</v>
      </c>
      <c r="E420" s="23">
        <v>215</v>
      </c>
      <c r="F420" s="14">
        <v>13</v>
      </c>
      <c r="G420" s="23">
        <v>228</v>
      </c>
    </row>
    <row r="421" spans="1:7" x14ac:dyDescent="0.25">
      <c r="A421" s="23">
        <v>2023</v>
      </c>
      <c r="B421" s="23" t="s">
        <v>191</v>
      </c>
      <c r="C421" s="23" t="s">
        <v>182</v>
      </c>
      <c r="D421" s="23" t="s">
        <v>190</v>
      </c>
      <c r="E421" s="23">
        <v>153</v>
      </c>
      <c r="F421" s="14">
        <v>94</v>
      </c>
      <c r="G421" s="23">
        <v>247</v>
      </c>
    </row>
    <row r="422" spans="1:7" x14ac:dyDescent="0.25">
      <c r="A422" s="23">
        <v>2023</v>
      </c>
      <c r="B422" s="23" t="s">
        <v>191</v>
      </c>
      <c r="C422" s="23" t="s">
        <v>197</v>
      </c>
      <c r="D422" s="23" t="s">
        <v>188</v>
      </c>
      <c r="E422" s="23">
        <v>130</v>
      </c>
      <c r="F422" s="14">
        <v>97</v>
      </c>
      <c r="G422" s="23">
        <v>227</v>
      </c>
    </row>
    <row r="423" spans="1:7" x14ac:dyDescent="0.25">
      <c r="A423" s="23">
        <v>2023</v>
      </c>
      <c r="B423" s="23" t="s">
        <v>191</v>
      </c>
      <c r="C423" s="23" t="s">
        <v>197</v>
      </c>
      <c r="D423" s="23" t="s">
        <v>190</v>
      </c>
      <c r="E423" s="23">
        <v>174</v>
      </c>
      <c r="F423" s="14">
        <v>83</v>
      </c>
      <c r="G423" s="23">
        <v>257</v>
      </c>
    </row>
    <row r="424" spans="1:7" x14ac:dyDescent="0.25">
      <c r="A424" s="23">
        <v>2023</v>
      </c>
      <c r="B424" s="23" t="s">
        <v>191</v>
      </c>
      <c r="C424" s="23" t="s">
        <v>198</v>
      </c>
      <c r="D424" s="23" t="s">
        <v>188</v>
      </c>
      <c r="E424" s="23">
        <v>172</v>
      </c>
      <c r="F424" s="14">
        <v>36</v>
      </c>
      <c r="G424" s="23">
        <v>208</v>
      </c>
    </row>
    <row r="425" spans="1:7" x14ac:dyDescent="0.25">
      <c r="A425" s="23">
        <v>2023</v>
      </c>
      <c r="B425" s="23" t="s">
        <v>191</v>
      </c>
      <c r="C425" s="23" t="s">
        <v>198</v>
      </c>
      <c r="D425" s="23" t="s">
        <v>190</v>
      </c>
      <c r="E425" s="23">
        <v>247</v>
      </c>
      <c r="F425" s="14">
        <v>110</v>
      </c>
      <c r="G425" s="23">
        <v>357</v>
      </c>
    </row>
    <row r="426" spans="1:7" x14ac:dyDescent="0.25">
      <c r="A426" s="23">
        <v>2023</v>
      </c>
      <c r="B426" s="23" t="s">
        <v>191</v>
      </c>
      <c r="C426" s="23" t="s">
        <v>199</v>
      </c>
      <c r="D426" s="23" t="s">
        <v>188</v>
      </c>
      <c r="E426" s="23">
        <v>189</v>
      </c>
      <c r="F426" s="14">
        <v>75</v>
      </c>
      <c r="G426" s="23">
        <v>264</v>
      </c>
    </row>
    <row r="427" spans="1:7" x14ac:dyDescent="0.25">
      <c r="A427" s="23">
        <v>2023</v>
      </c>
      <c r="B427" s="23" t="s">
        <v>191</v>
      </c>
      <c r="C427" s="23" t="s">
        <v>199</v>
      </c>
      <c r="D427" s="23" t="s">
        <v>190</v>
      </c>
      <c r="E427" s="23">
        <v>140</v>
      </c>
      <c r="F427" s="14">
        <v>54</v>
      </c>
      <c r="G427" s="23">
        <v>194</v>
      </c>
    </row>
    <row r="428" spans="1:7" x14ac:dyDescent="0.25">
      <c r="A428" s="23">
        <v>2023</v>
      </c>
      <c r="B428" s="23" t="s">
        <v>191</v>
      </c>
      <c r="C428" s="23" t="s">
        <v>200</v>
      </c>
      <c r="D428" s="23" t="s">
        <v>188</v>
      </c>
      <c r="E428" s="23">
        <v>161</v>
      </c>
      <c r="F428" s="14">
        <v>33</v>
      </c>
      <c r="G428" s="23">
        <v>194</v>
      </c>
    </row>
    <row r="429" spans="1:7" x14ac:dyDescent="0.25">
      <c r="A429" s="23">
        <v>2023</v>
      </c>
      <c r="B429" s="23" t="s">
        <v>191</v>
      </c>
      <c r="C429" s="23" t="s">
        <v>200</v>
      </c>
      <c r="D429" s="23" t="s">
        <v>190</v>
      </c>
      <c r="E429" s="23">
        <v>232</v>
      </c>
      <c r="F429" s="14">
        <v>66</v>
      </c>
      <c r="G429" s="23">
        <v>298</v>
      </c>
    </row>
    <row r="430" spans="1:7" x14ac:dyDescent="0.25">
      <c r="A430" s="23">
        <v>2023</v>
      </c>
      <c r="B430" s="23" t="s">
        <v>191</v>
      </c>
      <c r="C430" s="23" t="s">
        <v>201</v>
      </c>
      <c r="D430" s="23" t="s">
        <v>188</v>
      </c>
      <c r="E430" s="23">
        <v>53</v>
      </c>
      <c r="F430" s="14">
        <v>96</v>
      </c>
      <c r="G430" s="23">
        <v>149</v>
      </c>
    </row>
    <row r="431" spans="1:7" x14ac:dyDescent="0.25">
      <c r="A431" s="23">
        <v>2023</v>
      </c>
      <c r="B431" s="23" t="s">
        <v>191</v>
      </c>
      <c r="C431" s="23" t="s">
        <v>201</v>
      </c>
      <c r="D431" s="23" t="s">
        <v>190</v>
      </c>
      <c r="E431" s="23">
        <v>77</v>
      </c>
      <c r="F431" s="14">
        <v>22</v>
      </c>
      <c r="G431" s="23">
        <v>99</v>
      </c>
    </row>
    <row r="432" spans="1:7" x14ac:dyDescent="0.25">
      <c r="A432" s="23">
        <v>2023</v>
      </c>
      <c r="B432" s="23" t="s">
        <v>191</v>
      </c>
      <c r="C432" s="23" t="s">
        <v>202</v>
      </c>
      <c r="D432" s="23" t="s">
        <v>188</v>
      </c>
      <c r="E432" s="23">
        <v>174</v>
      </c>
      <c r="F432" s="14">
        <v>72</v>
      </c>
      <c r="G432" s="23">
        <v>246</v>
      </c>
    </row>
    <row r="433" spans="1:7" x14ac:dyDescent="0.25">
      <c r="A433" s="23">
        <v>2023</v>
      </c>
      <c r="B433" s="23" t="s">
        <v>191</v>
      </c>
      <c r="C433" s="23" t="s">
        <v>202</v>
      </c>
      <c r="D433" s="23" t="s">
        <v>190</v>
      </c>
      <c r="E433" s="23">
        <v>201</v>
      </c>
      <c r="F433" s="14">
        <v>67</v>
      </c>
      <c r="G433" s="23">
        <v>268</v>
      </c>
    </row>
    <row r="434" spans="1:7" x14ac:dyDescent="0.25">
      <c r="A434" s="23">
        <v>2023</v>
      </c>
      <c r="B434" s="23" t="s">
        <v>193</v>
      </c>
      <c r="C434" s="23" t="s">
        <v>181</v>
      </c>
      <c r="D434" s="23" t="s">
        <v>188</v>
      </c>
      <c r="E434" s="23">
        <v>258</v>
      </c>
      <c r="F434" s="14">
        <v>12</v>
      </c>
      <c r="G434" s="23">
        <v>270</v>
      </c>
    </row>
    <row r="435" spans="1:7" x14ac:dyDescent="0.25">
      <c r="A435" s="23">
        <v>2023</v>
      </c>
      <c r="B435" s="23" t="s">
        <v>193</v>
      </c>
      <c r="C435" s="23" t="s">
        <v>181</v>
      </c>
      <c r="D435" s="23" t="s">
        <v>190</v>
      </c>
      <c r="E435" s="23">
        <v>155</v>
      </c>
      <c r="F435" s="14">
        <v>35</v>
      </c>
      <c r="G435" s="23">
        <v>190</v>
      </c>
    </row>
    <row r="436" spans="1:7" x14ac:dyDescent="0.25">
      <c r="A436" s="23">
        <v>2023</v>
      </c>
      <c r="B436" s="23" t="s">
        <v>193</v>
      </c>
      <c r="C436" s="23" t="s">
        <v>182</v>
      </c>
      <c r="D436" s="23" t="s">
        <v>188</v>
      </c>
      <c r="E436" s="23">
        <v>171</v>
      </c>
      <c r="F436" s="14">
        <v>54</v>
      </c>
      <c r="G436" s="23">
        <v>225</v>
      </c>
    </row>
    <row r="437" spans="1:7" x14ac:dyDescent="0.25">
      <c r="A437" s="23">
        <v>2023</v>
      </c>
      <c r="B437" s="23" t="s">
        <v>193</v>
      </c>
      <c r="C437" s="23" t="s">
        <v>182</v>
      </c>
      <c r="D437" s="23" t="s">
        <v>190</v>
      </c>
      <c r="E437" s="23">
        <v>240</v>
      </c>
      <c r="F437" s="14">
        <v>56</v>
      </c>
      <c r="G437" s="23">
        <v>296</v>
      </c>
    </row>
    <row r="438" spans="1:7" x14ac:dyDescent="0.25">
      <c r="A438" s="23">
        <v>2023</v>
      </c>
      <c r="B438" s="23" t="s">
        <v>193</v>
      </c>
      <c r="C438" s="23" t="s">
        <v>197</v>
      </c>
      <c r="D438" s="23" t="s">
        <v>188</v>
      </c>
      <c r="E438" s="23">
        <v>204</v>
      </c>
      <c r="F438" s="14">
        <v>16</v>
      </c>
      <c r="G438" s="23">
        <v>220</v>
      </c>
    </row>
    <row r="439" spans="1:7" x14ac:dyDescent="0.25">
      <c r="A439" s="23">
        <v>2023</v>
      </c>
      <c r="B439" s="23" t="s">
        <v>193</v>
      </c>
      <c r="C439" s="23" t="s">
        <v>197</v>
      </c>
      <c r="D439" s="23" t="s">
        <v>190</v>
      </c>
      <c r="E439" s="23">
        <v>255</v>
      </c>
      <c r="F439" s="14">
        <v>21</v>
      </c>
      <c r="G439" s="23">
        <v>276</v>
      </c>
    </row>
    <row r="440" spans="1:7" x14ac:dyDescent="0.25">
      <c r="A440" s="23">
        <v>2023</v>
      </c>
      <c r="B440" s="23" t="s">
        <v>193</v>
      </c>
      <c r="C440" s="23" t="s">
        <v>198</v>
      </c>
      <c r="D440" s="23" t="s">
        <v>188</v>
      </c>
      <c r="E440" s="23">
        <v>128</v>
      </c>
      <c r="F440" s="14">
        <v>23</v>
      </c>
      <c r="G440" s="23">
        <v>151</v>
      </c>
    </row>
    <row r="441" spans="1:7" x14ac:dyDescent="0.25">
      <c r="A441" s="23">
        <v>2023</v>
      </c>
      <c r="B441" s="23" t="s">
        <v>193</v>
      </c>
      <c r="C441" s="23" t="s">
        <v>198</v>
      </c>
      <c r="D441" s="23" t="s">
        <v>190</v>
      </c>
      <c r="E441" s="23">
        <v>220</v>
      </c>
      <c r="F441" s="14">
        <v>87</v>
      </c>
      <c r="G441" s="23">
        <v>307</v>
      </c>
    </row>
    <row r="442" spans="1:7" x14ac:dyDescent="0.25">
      <c r="A442" s="23">
        <v>2023</v>
      </c>
      <c r="B442" s="23" t="s">
        <v>193</v>
      </c>
      <c r="C442" s="23" t="s">
        <v>199</v>
      </c>
      <c r="D442" s="23" t="s">
        <v>188</v>
      </c>
      <c r="E442" s="23">
        <v>43</v>
      </c>
      <c r="F442" s="14">
        <v>105</v>
      </c>
      <c r="G442" s="23">
        <v>148</v>
      </c>
    </row>
    <row r="443" spans="1:7" x14ac:dyDescent="0.25">
      <c r="A443" s="23">
        <v>2023</v>
      </c>
      <c r="B443" s="23" t="s">
        <v>193</v>
      </c>
      <c r="C443" s="23" t="s">
        <v>199</v>
      </c>
      <c r="D443" s="23" t="s">
        <v>190</v>
      </c>
      <c r="E443" s="23">
        <v>108</v>
      </c>
      <c r="F443" s="14">
        <v>11</v>
      </c>
      <c r="G443" s="23">
        <v>119</v>
      </c>
    </row>
    <row r="444" spans="1:7" x14ac:dyDescent="0.25">
      <c r="A444" s="23">
        <v>2023</v>
      </c>
      <c r="B444" s="23" t="s">
        <v>193</v>
      </c>
      <c r="C444" s="23" t="s">
        <v>200</v>
      </c>
      <c r="D444" s="23" t="s">
        <v>188</v>
      </c>
      <c r="E444" s="23">
        <v>260</v>
      </c>
      <c r="F444" s="14">
        <v>89</v>
      </c>
      <c r="G444" s="23">
        <v>349</v>
      </c>
    </row>
    <row r="445" spans="1:7" x14ac:dyDescent="0.25">
      <c r="A445" s="23">
        <v>2023</v>
      </c>
      <c r="B445" s="23" t="s">
        <v>193</v>
      </c>
      <c r="C445" s="23" t="s">
        <v>200</v>
      </c>
      <c r="D445" s="23" t="s">
        <v>190</v>
      </c>
      <c r="E445" s="23">
        <v>84</v>
      </c>
      <c r="F445" s="14">
        <v>52</v>
      </c>
      <c r="G445" s="23">
        <v>136</v>
      </c>
    </row>
    <row r="446" spans="1:7" x14ac:dyDescent="0.25">
      <c r="A446" s="23">
        <v>2023</v>
      </c>
      <c r="B446" s="23" t="s">
        <v>193</v>
      </c>
      <c r="C446" s="23" t="s">
        <v>201</v>
      </c>
      <c r="D446" s="23" t="s">
        <v>188</v>
      </c>
      <c r="E446" s="23">
        <v>216</v>
      </c>
      <c r="F446" s="14">
        <v>66</v>
      </c>
      <c r="G446" s="23">
        <v>282</v>
      </c>
    </row>
    <row r="447" spans="1:7" x14ac:dyDescent="0.25">
      <c r="A447" s="23">
        <v>2023</v>
      </c>
      <c r="B447" s="23" t="s">
        <v>193</v>
      </c>
      <c r="C447" s="23" t="s">
        <v>201</v>
      </c>
      <c r="D447" s="23" t="s">
        <v>190</v>
      </c>
      <c r="E447" s="23">
        <v>191</v>
      </c>
      <c r="F447" s="14">
        <v>73</v>
      </c>
      <c r="G447" s="23">
        <v>264</v>
      </c>
    </row>
    <row r="448" spans="1:7" x14ac:dyDescent="0.25">
      <c r="A448" s="23">
        <v>2023</v>
      </c>
      <c r="B448" s="23" t="s">
        <v>193</v>
      </c>
      <c r="C448" s="23" t="s">
        <v>202</v>
      </c>
      <c r="D448" s="23" t="s">
        <v>188</v>
      </c>
      <c r="E448" s="23">
        <v>183</v>
      </c>
      <c r="F448" s="14">
        <v>23</v>
      </c>
      <c r="G448" s="23">
        <v>206</v>
      </c>
    </row>
    <row r="449" spans="1:7" x14ac:dyDescent="0.25">
      <c r="A449" s="23">
        <v>2023</v>
      </c>
      <c r="B449" s="23" t="s">
        <v>193</v>
      </c>
      <c r="C449" s="23" t="s">
        <v>202</v>
      </c>
      <c r="D449" s="23" t="s">
        <v>190</v>
      </c>
      <c r="E449" s="23">
        <v>98</v>
      </c>
      <c r="F449" s="14">
        <v>12</v>
      </c>
      <c r="G449" s="23">
        <v>110</v>
      </c>
    </row>
    <row r="450" spans="1:7" x14ac:dyDescent="0.25">
      <c r="A450" s="23">
        <v>2023</v>
      </c>
      <c r="B450" s="23" t="s">
        <v>192</v>
      </c>
      <c r="C450" s="23" t="s">
        <v>181</v>
      </c>
      <c r="D450" s="23" t="s">
        <v>188</v>
      </c>
      <c r="E450" s="23">
        <v>126</v>
      </c>
      <c r="F450" s="14">
        <v>51</v>
      </c>
      <c r="G450" s="23">
        <v>177</v>
      </c>
    </row>
    <row r="451" spans="1:7" x14ac:dyDescent="0.25">
      <c r="A451" s="23">
        <v>2023</v>
      </c>
      <c r="B451" s="23" t="s">
        <v>192</v>
      </c>
      <c r="C451" s="23" t="s">
        <v>181</v>
      </c>
      <c r="D451" s="23" t="s">
        <v>190</v>
      </c>
      <c r="E451" s="23">
        <v>138</v>
      </c>
      <c r="F451" s="14">
        <v>83</v>
      </c>
      <c r="G451" s="23">
        <v>221</v>
      </c>
    </row>
    <row r="452" spans="1:7" x14ac:dyDescent="0.25">
      <c r="A452" s="23">
        <v>2023</v>
      </c>
      <c r="B452" s="23" t="s">
        <v>192</v>
      </c>
      <c r="C452" s="23" t="s">
        <v>182</v>
      </c>
      <c r="D452" s="23" t="s">
        <v>188</v>
      </c>
      <c r="E452" s="23">
        <v>189</v>
      </c>
      <c r="F452" s="14">
        <v>24</v>
      </c>
      <c r="G452" s="23">
        <v>213</v>
      </c>
    </row>
    <row r="453" spans="1:7" x14ac:dyDescent="0.25">
      <c r="A453" s="23">
        <v>2023</v>
      </c>
      <c r="B453" s="23" t="s">
        <v>192</v>
      </c>
      <c r="C453" s="23" t="s">
        <v>182</v>
      </c>
      <c r="D453" s="23" t="s">
        <v>190</v>
      </c>
      <c r="E453" s="23">
        <v>255</v>
      </c>
      <c r="F453" s="14">
        <v>94</v>
      </c>
      <c r="G453" s="23">
        <v>349</v>
      </c>
    </row>
    <row r="454" spans="1:7" x14ac:dyDescent="0.25">
      <c r="A454" s="23">
        <v>2023</v>
      </c>
      <c r="B454" s="23" t="s">
        <v>192</v>
      </c>
      <c r="C454" s="23" t="s">
        <v>197</v>
      </c>
      <c r="D454" s="23" t="s">
        <v>188</v>
      </c>
      <c r="E454" s="23">
        <v>147</v>
      </c>
      <c r="F454" s="14">
        <v>20</v>
      </c>
      <c r="G454" s="23">
        <v>167</v>
      </c>
    </row>
    <row r="455" spans="1:7" x14ac:dyDescent="0.25">
      <c r="A455" s="23">
        <v>2023</v>
      </c>
      <c r="B455" s="23" t="s">
        <v>192</v>
      </c>
      <c r="C455" s="23" t="s">
        <v>197</v>
      </c>
      <c r="D455" s="23" t="s">
        <v>190</v>
      </c>
      <c r="E455" s="23">
        <v>249</v>
      </c>
      <c r="F455" s="14">
        <v>79</v>
      </c>
      <c r="G455" s="23">
        <v>328</v>
      </c>
    </row>
    <row r="456" spans="1:7" x14ac:dyDescent="0.25">
      <c r="A456" s="23">
        <v>2023</v>
      </c>
      <c r="B456" s="23" t="s">
        <v>192</v>
      </c>
      <c r="C456" s="23" t="s">
        <v>198</v>
      </c>
      <c r="D456" s="23" t="s">
        <v>188</v>
      </c>
      <c r="E456" s="23">
        <v>142</v>
      </c>
      <c r="F456" s="14">
        <v>83</v>
      </c>
      <c r="G456" s="23">
        <v>225</v>
      </c>
    </row>
    <row r="457" spans="1:7" x14ac:dyDescent="0.25">
      <c r="A457" s="23">
        <v>2023</v>
      </c>
      <c r="B457" s="23" t="s">
        <v>192</v>
      </c>
      <c r="C457" s="23" t="s">
        <v>198</v>
      </c>
      <c r="D457" s="23" t="s">
        <v>190</v>
      </c>
      <c r="E457" s="23">
        <v>177</v>
      </c>
      <c r="F457" s="14">
        <v>64</v>
      </c>
      <c r="G457" s="23">
        <v>241</v>
      </c>
    </row>
    <row r="458" spans="1:7" x14ac:dyDescent="0.25">
      <c r="A458" s="23">
        <v>2023</v>
      </c>
      <c r="B458" s="23" t="s">
        <v>192</v>
      </c>
      <c r="C458" s="23" t="s">
        <v>199</v>
      </c>
      <c r="D458" s="23" t="s">
        <v>188</v>
      </c>
      <c r="E458" s="23">
        <v>108</v>
      </c>
      <c r="F458" s="14">
        <v>21</v>
      </c>
      <c r="G458" s="23">
        <v>129</v>
      </c>
    </row>
    <row r="459" spans="1:7" x14ac:dyDescent="0.25">
      <c r="A459" s="23">
        <v>2023</v>
      </c>
      <c r="B459" s="23" t="s">
        <v>192</v>
      </c>
      <c r="C459" s="23" t="s">
        <v>199</v>
      </c>
      <c r="D459" s="23" t="s">
        <v>190</v>
      </c>
      <c r="E459" s="23">
        <v>158</v>
      </c>
      <c r="F459" s="14">
        <v>48</v>
      </c>
      <c r="G459" s="23">
        <v>206</v>
      </c>
    </row>
    <row r="460" spans="1:7" x14ac:dyDescent="0.25">
      <c r="A460" s="23">
        <v>2023</v>
      </c>
      <c r="B460" s="23" t="s">
        <v>192</v>
      </c>
      <c r="C460" s="23" t="s">
        <v>200</v>
      </c>
      <c r="D460" s="23" t="s">
        <v>188</v>
      </c>
      <c r="E460" s="23">
        <v>146</v>
      </c>
      <c r="F460" s="14">
        <v>98</v>
      </c>
      <c r="G460" s="23">
        <v>244</v>
      </c>
    </row>
    <row r="461" spans="1:7" x14ac:dyDescent="0.25">
      <c r="A461" s="23">
        <v>2023</v>
      </c>
      <c r="B461" s="23" t="s">
        <v>192</v>
      </c>
      <c r="C461" s="23" t="s">
        <v>200</v>
      </c>
      <c r="D461" s="23" t="s">
        <v>190</v>
      </c>
      <c r="E461" s="23">
        <v>144</v>
      </c>
      <c r="F461" s="14">
        <v>65</v>
      </c>
      <c r="G461" s="23">
        <v>209</v>
      </c>
    </row>
    <row r="462" spans="1:7" x14ac:dyDescent="0.25">
      <c r="A462" s="23">
        <v>2023</v>
      </c>
      <c r="B462" s="23" t="s">
        <v>192</v>
      </c>
      <c r="C462" s="23" t="s">
        <v>201</v>
      </c>
      <c r="D462" s="23" t="s">
        <v>188</v>
      </c>
      <c r="E462" s="23">
        <v>131</v>
      </c>
      <c r="F462" s="14">
        <v>44</v>
      </c>
      <c r="G462" s="23">
        <v>175</v>
      </c>
    </row>
    <row r="463" spans="1:7" x14ac:dyDescent="0.25">
      <c r="A463" s="23">
        <v>2023</v>
      </c>
      <c r="B463" s="23" t="s">
        <v>192</v>
      </c>
      <c r="C463" s="23" t="s">
        <v>201</v>
      </c>
      <c r="D463" s="23" t="s">
        <v>190</v>
      </c>
      <c r="E463" s="23">
        <v>214</v>
      </c>
      <c r="F463" s="14">
        <v>61</v>
      </c>
      <c r="G463" s="23">
        <v>275</v>
      </c>
    </row>
    <row r="464" spans="1:7" x14ac:dyDescent="0.25">
      <c r="A464" s="23">
        <v>2023</v>
      </c>
      <c r="B464" s="23" t="s">
        <v>192</v>
      </c>
      <c r="C464" s="23" t="s">
        <v>202</v>
      </c>
      <c r="D464" s="23" t="s">
        <v>188</v>
      </c>
      <c r="E464" s="23">
        <v>212</v>
      </c>
      <c r="F464" s="14">
        <v>46</v>
      </c>
      <c r="G464" s="23">
        <v>258</v>
      </c>
    </row>
    <row r="465" spans="1:7" x14ac:dyDescent="0.25">
      <c r="A465" s="23">
        <v>2023</v>
      </c>
      <c r="B465" s="23" t="s">
        <v>192</v>
      </c>
      <c r="C465" s="23" t="s">
        <v>202</v>
      </c>
      <c r="D465" s="23" t="s">
        <v>190</v>
      </c>
      <c r="E465" s="23">
        <v>115</v>
      </c>
      <c r="F465" s="14">
        <v>10</v>
      </c>
      <c r="G465" s="23">
        <v>125</v>
      </c>
    </row>
    <row r="466" spans="1:7" x14ac:dyDescent="0.25">
      <c r="A466" s="23">
        <v>2023</v>
      </c>
      <c r="B466" s="23" t="s">
        <v>196</v>
      </c>
      <c r="C466" s="23" t="s">
        <v>181</v>
      </c>
      <c r="D466" s="23" t="s">
        <v>188</v>
      </c>
      <c r="E466" s="23">
        <v>44</v>
      </c>
      <c r="F466" s="14">
        <v>95</v>
      </c>
      <c r="G466" s="23">
        <v>139</v>
      </c>
    </row>
    <row r="467" spans="1:7" x14ac:dyDescent="0.25">
      <c r="A467" s="23">
        <v>2023</v>
      </c>
      <c r="B467" s="23" t="s">
        <v>196</v>
      </c>
      <c r="C467" s="23" t="s">
        <v>181</v>
      </c>
      <c r="D467" s="23" t="s">
        <v>190</v>
      </c>
      <c r="E467" s="23">
        <v>125</v>
      </c>
      <c r="F467" s="14">
        <v>80</v>
      </c>
      <c r="G467" s="23">
        <v>205</v>
      </c>
    </row>
    <row r="468" spans="1:7" x14ac:dyDescent="0.25">
      <c r="A468" s="23">
        <v>2023</v>
      </c>
      <c r="B468" s="23" t="s">
        <v>196</v>
      </c>
      <c r="C468" s="23" t="s">
        <v>182</v>
      </c>
      <c r="D468" s="23" t="s">
        <v>188</v>
      </c>
      <c r="E468" s="23">
        <v>149</v>
      </c>
      <c r="F468" s="14">
        <v>31</v>
      </c>
      <c r="G468" s="23">
        <v>180</v>
      </c>
    </row>
    <row r="469" spans="1:7" x14ac:dyDescent="0.25">
      <c r="A469" s="23">
        <v>2023</v>
      </c>
      <c r="B469" s="23" t="s">
        <v>196</v>
      </c>
      <c r="C469" s="23" t="s">
        <v>182</v>
      </c>
      <c r="D469" s="23" t="s">
        <v>190</v>
      </c>
      <c r="E469" s="23">
        <v>77</v>
      </c>
      <c r="F469" s="14">
        <v>14</v>
      </c>
      <c r="G469" s="23">
        <v>91</v>
      </c>
    </row>
    <row r="470" spans="1:7" x14ac:dyDescent="0.25">
      <c r="A470" s="23">
        <v>2023</v>
      </c>
      <c r="B470" s="23" t="s">
        <v>196</v>
      </c>
      <c r="C470" s="23" t="s">
        <v>197</v>
      </c>
      <c r="D470" s="23" t="s">
        <v>188</v>
      </c>
      <c r="E470" s="23">
        <v>55</v>
      </c>
      <c r="F470" s="14">
        <v>21</v>
      </c>
      <c r="G470" s="23">
        <v>76</v>
      </c>
    </row>
    <row r="471" spans="1:7" x14ac:dyDescent="0.25">
      <c r="A471" s="23">
        <v>2023</v>
      </c>
      <c r="B471" s="23" t="s">
        <v>196</v>
      </c>
      <c r="C471" s="23" t="s">
        <v>197</v>
      </c>
      <c r="D471" s="23" t="s">
        <v>190</v>
      </c>
      <c r="E471" s="23">
        <v>253</v>
      </c>
      <c r="F471" s="14">
        <v>94</v>
      </c>
      <c r="G471" s="23">
        <v>347</v>
      </c>
    </row>
    <row r="472" spans="1:7" x14ac:dyDescent="0.25">
      <c r="A472" s="23">
        <v>2023</v>
      </c>
      <c r="B472" s="23" t="s">
        <v>196</v>
      </c>
      <c r="C472" s="23" t="s">
        <v>198</v>
      </c>
      <c r="D472" s="23" t="s">
        <v>188</v>
      </c>
      <c r="E472" s="23">
        <v>164</v>
      </c>
      <c r="F472" s="14">
        <v>49</v>
      </c>
      <c r="G472" s="23">
        <v>213</v>
      </c>
    </row>
    <row r="473" spans="1:7" x14ac:dyDescent="0.25">
      <c r="A473" s="23">
        <v>2023</v>
      </c>
      <c r="B473" s="23" t="s">
        <v>196</v>
      </c>
      <c r="C473" s="23" t="s">
        <v>198</v>
      </c>
      <c r="D473" s="23" t="s">
        <v>190</v>
      </c>
      <c r="E473" s="23">
        <v>79</v>
      </c>
      <c r="F473" s="14">
        <v>12</v>
      </c>
      <c r="G473" s="23">
        <v>91</v>
      </c>
    </row>
    <row r="474" spans="1:7" x14ac:dyDescent="0.25">
      <c r="A474" s="23">
        <v>2023</v>
      </c>
      <c r="B474" s="23" t="s">
        <v>196</v>
      </c>
      <c r="C474" s="23" t="s">
        <v>199</v>
      </c>
      <c r="D474" s="23" t="s">
        <v>188</v>
      </c>
      <c r="E474" s="23">
        <v>60</v>
      </c>
      <c r="F474" s="14">
        <v>100</v>
      </c>
      <c r="G474" s="23">
        <v>160</v>
      </c>
    </row>
    <row r="475" spans="1:7" x14ac:dyDescent="0.25">
      <c r="A475" s="23">
        <v>2023</v>
      </c>
      <c r="B475" s="23" t="s">
        <v>196</v>
      </c>
      <c r="C475" s="23" t="s">
        <v>199</v>
      </c>
      <c r="D475" s="23" t="s">
        <v>190</v>
      </c>
      <c r="E475" s="23">
        <v>92</v>
      </c>
      <c r="F475" s="14">
        <v>78</v>
      </c>
      <c r="G475" s="23">
        <v>170</v>
      </c>
    </row>
    <row r="476" spans="1:7" x14ac:dyDescent="0.25">
      <c r="A476" s="23">
        <v>2023</v>
      </c>
      <c r="B476" s="23" t="s">
        <v>196</v>
      </c>
      <c r="C476" s="23" t="s">
        <v>200</v>
      </c>
      <c r="D476" s="23" t="s">
        <v>188</v>
      </c>
      <c r="E476" s="23">
        <v>40</v>
      </c>
      <c r="F476" s="14">
        <v>79</v>
      </c>
      <c r="G476" s="23">
        <v>119</v>
      </c>
    </row>
    <row r="477" spans="1:7" x14ac:dyDescent="0.25">
      <c r="A477" s="23">
        <v>2023</v>
      </c>
      <c r="B477" s="23" t="s">
        <v>196</v>
      </c>
      <c r="C477" s="23" t="s">
        <v>200</v>
      </c>
      <c r="D477" s="23" t="s">
        <v>190</v>
      </c>
      <c r="E477" s="23">
        <v>193</v>
      </c>
      <c r="F477" s="14">
        <v>23</v>
      </c>
      <c r="G477" s="23">
        <v>216</v>
      </c>
    </row>
    <row r="478" spans="1:7" x14ac:dyDescent="0.25">
      <c r="A478" s="23">
        <v>2023</v>
      </c>
      <c r="B478" s="23" t="s">
        <v>196</v>
      </c>
      <c r="C478" s="23" t="s">
        <v>201</v>
      </c>
      <c r="D478" s="23" t="s">
        <v>188</v>
      </c>
      <c r="E478" s="23">
        <v>239</v>
      </c>
      <c r="F478" s="14">
        <v>44</v>
      </c>
      <c r="G478" s="23">
        <v>283</v>
      </c>
    </row>
    <row r="479" spans="1:7" x14ac:dyDescent="0.25">
      <c r="A479" s="23">
        <v>2023</v>
      </c>
      <c r="B479" s="23" t="s">
        <v>196</v>
      </c>
      <c r="C479" s="23" t="s">
        <v>201</v>
      </c>
      <c r="D479" s="23" t="s">
        <v>190</v>
      </c>
      <c r="E479" s="23">
        <v>129</v>
      </c>
      <c r="F479" s="14">
        <v>83</v>
      </c>
      <c r="G479" s="23">
        <v>212</v>
      </c>
    </row>
    <row r="480" spans="1:7" x14ac:dyDescent="0.25">
      <c r="A480" s="23">
        <v>2023</v>
      </c>
      <c r="B480" s="23" t="s">
        <v>196</v>
      </c>
      <c r="C480" s="23" t="s">
        <v>202</v>
      </c>
      <c r="D480" s="23" t="s">
        <v>188</v>
      </c>
      <c r="E480" s="23">
        <v>203</v>
      </c>
      <c r="F480" s="14">
        <v>75</v>
      </c>
      <c r="G480" s="23">
        <v>278</v>
      </c>
    </row>
    <row r="481" spans="1:7" x14ac:dyDescent="0.25">
      <c r="A481" s="23">
        <v>2023</v>
      </c>
      <c r="B481" s="23" t="s">
        <v>196</v>
      </c>
      <c r="C481" s="23" t="s">
        <v>202</v>
      </c>
      <c r="D481" s="23" t="s">
        <v>190</v>
      </c>
      <c r="E481" s="23">
        <v>232</v>
      </c>
      <c r="F481" s="14">
        <v>37</v>
      </c>
      <c r="G481" s="23">
        <v>269</v>
      </c>
    </row>
    <row r="482" spans="1:7" x14ac:dyDescent="0.25">
      <c r="A482" s="23">
        <v>2023</v>
      </c>
      <c r="B482" s="23" t="s">
        <v>194</v>
      </c>
      <c r="C482" s="23" t="s">
        <v>181</v>
      </c>
      <c r="D482" s="23" t="s">
        <v>188</v>
      </c>
      <c r="E482" s="23">
        <v>88</v>
      </c>
      <c r="F482" s="14">
        <v>45</v>
      </c>
      <c r="G482" s="23">
        <v>133</v>
      </c>
    </row>
    <row r="483" spans="1:7" x14ac:dyDescent="0.25">
      <c r="A483" s="23">
        <v>2023</v>
      </c>
      <c r="B483" s="23" t="s">
        <v>194</v>
      </c>
      <c r="C483" s="23" t="s">
        <v>181</v>
      </c>
      <c r="D483" s="23" t="s">
        <v>190</v>
      </c>
      <c r="E483" s="23">
        <v>42</v>
      </c>
      <c r="F483" s="14">
        <v>104</v>
      </c>
      <c r="G483" s="23">
        <v>146</v>
      </c>
    </row>
    <row r="484" spans="1:7" x14ac:dyDescent="0.25">
      <c r="A484" s="23">
        <v>2023</v>
      </c>
      <c r="B484" s="23" t="s">
        <v>194</v>
      </c>
      <c r="C484" s="23" t="s">
        <v>182</v>
      </c>
      <c r="D484" s="23" t="s">
        <v>188</v>
      </c>
      <c r="E484" s="23">
        <v>179</v>
      </c>
      <c r="F484" s="14">
        <v>50</v>
      </c>
      <c r="G484" s="23">
        <v>229</v>
      </c>
    </row>
    <row r="485" spans="1:7" x14ac:dyDescent="0.25">
      <c r="A485" s="23">
        <v>2023</v>
      </c>
      <c r="B485" s="23" t="s">
        <v>194</v>
      </c>
      <c r="C485" s="23" t="s">
        <v>182</v>
      </c>
      <c r="D485" s="23" t="s">
        <v>190</v>
      </c>
      <c r="E485" s="23">
        <v>203</v>
      </c>
      <c r="F485" s="14">
        <v>22</v>
      </c>
      <c r="G485" s="23">
        <v>225</v>
      </c>
    </row>
    <row r="486" spans="1:7" x14ac:dyDescent="0.25">
      <c r="A486" s="23">
        <v>2023</v>
      </c>
      <c r="B486" s="23" t="s">
        <v>194</v>
      </c>
      <c r="C486" s="23" t="s">
        <v>197</v>
      </c>
      <c r="D486" s="23" t="s">
        <v>188</v>
      </c>
      <c r="E486" s="23">
        <v>53</v>
      </c>
      <c r="F486" s="14">
        <v>80</v>
      </c>
      <c r="G486" s="23">
        <v>133</v>
      </c>
    </row>
    <row r="487" spans="1:7" x14ac:dyDescent="0.25">
      <c r="A487" s="23">
        <v>2023</v>
      </c>
      <c r="B487" s="23" t="s">
        <v>194</v>
      </c>
      <c r="C487" s="23" t="s">
        <v>197</v>
      </c>
      <c r="D487" s="23" t="s">
        <v>190</v>
      </c>
      <c r="E487" s="23">
        <v>55</v>
      </c>
      <c r="F487" s="14">
        <v>65</v>
      </c>
      <c r="G487" s="23">
        <v>120</v>
      </c>
    </row>
    <row r="488" spans="1:7" x14ac:dyDescent="0.25">
      <c r="A488" s="23">
        <v>2023</v>
      </c>
      <c r="B488" s="23" t="s">
        <v>194</v>
      </c>
      <c r="C488" s="23" t="s">
        <v>198</v>
      </c>
      <c r="D488" s="23" t="s">
        <v>188</v>
      </c>
      <c r="E488" s="23">
        <v>79</v>
      </c>
      <c r="F488" s="14">
        <v>61</v>
      </c>
      <c r="G488" s="23">
        <v>140</v>
      </c>
    </row>
    <row r="489" spans="1:7" x14ac:dyDescent="0.25">
      <c r="A489" s="23">
        <v>2023</v>
      </c>
      <c r="B489" s="23" t="s">
        <v>194</v>
      </c>
      <c r="C489" s="23" t="s">
        <v>198</v>
      </c>
      <c r="D489" s="23" t="s">
        <v>190</v>
      </c>
      <c r="E489" s="23">
        <v>150</v>
      </c>
      <c r="F489" s="14">
        <v>73</v>
      </c>
      <c r="G489" s="23">
        <v>223</v>
      </c>
    </row>
    <row r="490" spans="1:7" x14ac:dyDescent="0.25">
      <c r="A490" s="23">
        <v>2023</v>
      </c>
      <c r="B490" s="23" t="s">
        <v>194</v>
      </c>
      <c r="C490" s="23" t="s">
        <v>199</v>
      </c>
      <c r="D490" s="23" t="s">
        <v>188</v>
      </c>
      <c r="E490" s="23">
        <v>235</v>
      </c>
      <c r="F490" s="14">
        <v>47</v>
      </c>
      <c r="G490" s="23">
        <v>282</v>
      </c>
    </row>
    <row r="491" spans="1:7" x14ac:dyDescent="0.25">
      <c r="A491" s="23">
        <v>2023</v>
      </c>
      <c r="B491" s="23" t="s">
        <v>194</v>
      </c>
      <c r="C491" s="23" t="s">
        <v>199</v>
      </c>
      <c r="D491" s="23" t="s">
        <v>190</v>
      </c>
      <c r="E491" s="23">
        <v>57</v>
      </c>
      <c r="F491" s="14">
        <v>67</v>
      </c>
      <c r="G491" s="23">
        <v>124</v>
      </c>
    </row>
    <row r="492" spans="1:7" x14ac:dyDescent="0.25">
      <c r="A492" s="23">
        <v>2023</v>
      </c>
      <c r="B492" s="23" t="s">
        <v>194</v>
      </c>
      <c r="C492" s="23" t="s">
        <v>200</v>
      </c>
      <c r="D492" s="23" t="s">
        <v>188</v>
      </c>
      <c r="E492" s="23">
        <v>198</v>
      </c>
      <c r="F492" s="14">
        <v>84</v>
      </c>
      <c r="G492" s="23">
        <v>282</v>
      </c>
    </row>
    <row r="493" spans="1:7" x14ac:dyDescent="0.25">
      <c r="A493" s="23">
        <v>2023</v>
      </c>
      <c r="B493" s="23" t="s">
        <v>194</v>
      </c>
      <c r="C493" s="23" t="s">
        <v>200</v>
      </c>
      <c r="D493" s="23" t="s">
        <v>190</v>
      </c>
      <c r="E493" s="23">
        <v>175</v>
      </c>
      <c r="F493" s="14">
        <v>65</v>
      </c>
      <c r="G493" s="23">
        <v>240</v>
      </c>
    </row>
    <row r="494" spans="1:7" x14ac:dyDescent="0.25">
      <c r="A494" s="23">
        <v>2023</v>
      </c>
      <c r="B494" s="23" t="s">
        <v>194</v>
      </c>
      <c r="C494" s="23" t="s">
        <v>201</v>
      </c>
      <c r="D494" s="23" t="s">
        <v>188</v>
      </c>
      <c r="E494" s="23">
        <v>196</v>
      </c>
      <c r="F494" s="14">
        <v>43</v>
      </c>
      <c r="G494" s="23">
        <v>239</v>
      </c>
    </row>
    <row r="495" spans="1:7" x14ac:dyDescent="0.25">
      <c r="A495" s="23">
        <v>2023</v>
      </c>
      <c r="B495" s="23" t="s">
        <v>194</v>
      </c>
      <c r="C495" s="23" t="s">
        <v>201</v>
      </c>
      <c r="D495" s="23" t="s">
        <v>190</v>
      </c>
      <c r="E495" s="23">
        <v>140</v>
      </c>
      <c r="F495" s="14">
        <v>46</v>
      </c>
      <c r="G495" s="23">
        <v>186</v>
      </c>
    </row>
    <row r="496" spans="1:7" x14ac:dyDescent="0.25">
      <c r="A496" s="23">
        <v>2023</v>
      </c>
      <c r="B496" s="23" t="s">
        <v>194</v>
      </c>
      <c r="C496" s="23" t="s">
        <v>202</v>
      </c>
      <c r="D496" s="23" t="s">
        <v>188</v>
      </c>
      <c r="E496" s="23">
        <v>219</v>
      </c>
      <c r="F496" s="14">
        <v>38</v>
      </c>
      <c r="G496" s="23">
        <v>257</v>
      </c>
    </row>
    <row r="497" spans="1:7" x14ac:dyDescent="0.25">
      <c r="A497" s="23">
        <v>2023</v>
      </c>
      <c r="B497" s="23" t="s">
        <v>194</v>
      </c>
      <c r="C497" s="23" t="s">
        <v>202</v>
      </c>
      <c r="D497" s="23" t="s">
        <v>190</v>
      </c>
      <c r="E497" s="23">
        <v>216</v>
      </c>
      <c r="F497" s="14">
        <v>49</v>
      </c>
      <c r="G497" s="23">
        <v>265</v>
      </c>
    </row>
    <row r="498" spans="1:7" x14ac:dyDescent="0.25">
      <c r="A498" s="23">
        <v>2023</v>
      </c>
      <c r="B498" s="23" t="s">
        <v>195</v>
      </c>
      <c r="C498" s="23" t="s">
        <v>181</v>
      </c>
      <c r="D498" s="23" t="s">
        <v>188</v>
      </c>
      <c r="E498" s="23">
        <v>115</v>
      </c>
      <c r="F498" s="14">
        <v>31</v>
      </c>
      <c r="G498" s="23">
        <v>146</v>
      </c>
    </row>
    <row r="499" spans="1:7" x14ac:dyDescent="0.25">
      <c r="A499" s="23">
        <v>2023</v>
      </c>
      <c r="B499" s="23" t="s">
        <v>195</v>
      </c>
      <c r="C499" s="23" t="s">
        <v>181</v>
      </c>
      <c r="D499" s="23" t="s">
        <v>190</v>
      </c>
      <c r="E499" s="23">
        <v>95</v>
      </c>
      <c r="F499" s="14">
        <v>70</v>
      </c>
      <c r="G499" s="23">
        <v>165</v>
      </c>
    </row>
    <row r="500" spans="1:7" x14ac:dyDescent="0.25">
      <c r="A500" s="23">
        <v>2023</v>
      </c>
      <c r="B500" s="23" t="s">
        <v>195</v>
      </c>
      <c r="C500" s="23" t="s">
        <v>182</v>
      </c>
      <c r="D500" s="23" t="s">
        <v>188</v>
      </c>
      <c r="E500" s="23">
        <v>205</v>
      </c>
      <c r="F500" s="14">
        <v>74</v>
      </c>
      <c r="G500" s="23">
        <v>279</v>
      </c>
    </row>
    <row r="501" spans="1:7" x14ac:dyDescent="0.25">
      <c r="A501" s="23">
        <v>2023</v>
      </c>
      <c r="B501" s="23" t="s">
        <v>195</v>
      </c>
      <c r="C501" s="23" t="s">
        <v>182</v>
      </c>
      <c r="D501" s="23" t="s">
        <v>190</v>
      </c>
      <c r="E501" s="23">
        <v>97</v>
      </c>
      <c r="F501" s="14">
        <v>35</v>
      </c>
      <c r="G501" s="23">
        <v>132</v>
      </c>
    </row>
    <row r="502" spans="1:7" x14ac:dyDescent="0.25">
      <c r="A502" s="23">
        <v>2023</v>
      </c>
      <c r="B502" s="23" t="s">
        <v>195</v>
      </c>
      <c r="C502" s="23" t="s">
        <v>197</v>
      </c>
      <c r="D502" s="23" t="s">
        <v>188</v>
      </c>
      <c r="E502" s="23">
        <v>146</v>
      </c>
      <c r="F502" s="14">
        <v>30</v>
      </c>
      <c r="G502" s="23">
        <v>176</v>
      </c>
    </row>
    <row r="503" spans="1:7" x14ac:dyDescent="0.25">
      <c r="A503" s="23">
        <v>2023</v>
      </c>
      <c r="B503" s="23" t="s">
        <v>195</v>
      </c>
      <c r="C503" s="23" t="s">
        <v>197</v>
      </c>
      <c r="D503" s="23" t="s">
        <v>190</v>
      </c>
      <c r="E503" s="23">
        <v>183</v>
      </c>
      <c r="F503" s="14">
        <v>106</v>
      </c>
      <c r="G503" s="23">
        <v>289</v>
      </c>
    </row>
    <row r="504" spans="1:7" x14ac:dyDescent="0.25">
      <c r="A504" s="23">
        <v>2023</v>
      </c>
      <c r="B504" s="23" t="s">
        <v>195</v>
      </c>
      <c r="C504" s="23" t="s">
        <v>198</v>
      </c>
      <c r="D504" s="23" t="s">
        <v>188</v>
      </c>
      <c r="E504" s="23">
        <v>117</v>
      </c>
      <c r="F504" s="14">
        <v>52</v>
      </c>
      <c r="G504" s="23">
        <v>169</v>
      </c>
    </row>
    <row r="505" spans="1:7" x14ac:dyDescent="0.25">
      <c r="A505" s="23">
        <v>2023</v>
      </c>
      <c r="B505" s="23" t="s">
        <v>195</v>
      </c>
      <c r="C505" s="23" t="s">
        <v>198</v>
      </c>
      <c r="D505" s="23" t="s">
        <v>190</v>
      </c>
      <c r="E505" s="23">
        <v>237</v>
      </c>
      <c r="F505" s="14">
        <v>71</v>
      </c>
      <c r="G505" s="23">
        <v>308</v>
      </c>
    </row>
    <row r="506" spans="1:7" x14ac:dyDescent="0.25">
      <c r="A506" s="23">
        <v>2023</v>
      </c>
      <c r="B506" s="23" t="s">
        <v>195</v>
      </c>
      <c r="C506" s="23" t="s">
        <v>199</v>
      </c>
      <c r="D506" s="23" t="s">
        <v>188</v>
      </c>
      <c r="E506" s="23">
        <v>200</v>
      </c>
      <c r="F506" s="14">
        <v>109</v>
      </c>
      <c r="G506" s="23">
        <v>309</v>
      </c>
    </row>
    <row r="507" spans="1:7" x14ac:dyDescent="0.25">
      <c r="A507" s="23">
        <v>2023</v>
      </c>
      <c r="B507" s="23" t="s">
        <v>195</v>
      </c>
      <c r="C507" s="23" t="s">
        <v>199</v>
      </c>
      <c r="D507" s="23" t="s">
        <v>190</v>
      </c>
      <c r="E507" s="23">
        <v>133</v>
      </c>
      <c r="F507" s="14">
        <v>104</v>
      </c>
      <c r="G507" s="23">
        <v>237</v>
      </c>
    </row>
    <row r="508" spans="1:7" x14ac:dyDescent="0.25">
      <c r="A508" s="23">
        <v>2023</v>
      </c>
      <c r="B508" s="23" t="s">
        <v>195</v>
      </c>
      <c r="C508" s="23" t="s">
        <v>200</v>
      </c>
      <c r="D508" s="23" t="s">
        <v>188</v>
      </c>
      <c r="E508" s="23">
        <v>212</v>
      </c>
      <c r="F508" s="14">
        <v>28</v>
      </c>
      <c r="G508" s="23">
        <v>240</v>
      </c>
    </row>
    <row r="509" spans="1:7" x14ac:dyDescent="0.25">
      <c r="A509" s="23">
        <v>2023</v>
      </c>
      <c r="B509" s="23" t="s">
        <v>195</v>
      </c>
      <c r="C509" s="23" t="s">
        <v>200</v>
      </c>
      <c r="D509" s="23" t="s">
        <v>190</v>
      </c>
      <c r="E509" s="23">
        <v>80</v>
      </c>
      <c r="F509" s="14">
        <v>103</v>
      </c>
      <c r="G509" s="23">
        <v>183</v>
      </c>
    </row>
    <row r="510" spans="1:7" x14ac:dyDescent="0.25">
      <c r="A510" s="23">
        <v>2023</v>
      </c>
      <c r="B510" s="23" t="s">
        <v>195</v>
      </c>
      <c r="C510" s="23" t="s">
        <v>201</v>
      </c>
      <c r="D510" s="23" t="s">
        <v>188</v>
      </c>
      <c r="E510" s="23">
        <v>201</v>
      </c>
      <c r="F510" s="14">
        <v>71</v>
      </c>
      <c r="G510" s="23">
        <v>272</v>
      </c>
    </row>
    <row r="511" spans="1:7" x14ac:dyDescent="0.25">
      <c r="A511" s="23">
        <v>2023</v>
      </c>
      <c r="B511" s="23" t="s">
        <v>195</v>
      </c>
      <c r="C511" s="23" t="s">
        <v>201</v>
      </c>
      <c r="D511" s="23" t="s">
        <v>190</v>
      </c>
      <c r="E511" s="23">
        <v>50</v>
      </c>
      <c r="F511" s="14">
        <v>36</v>
      </c>
      <c r="G511" s="23">
        <v>86</v>
      </c>
    </row>
    <row r="512" spans="1:7" x14ac:dyDescent="0.25">
      <c r="A512" s="23">
        <v>2023</v>
      </c>
      <c r="B512" s="23" t="s">
        <v>195</v>
      </c>
      <c r="C512" s="23" t="s">
        <v>202</v>
      </c>
      <c r="D512" s="23" t="s">
        <v>188</v>
      </c>
      <c r="E512" s="23">
        <v>236</v>
      </c>
      <c r="F512" s="14">
        <v>25</v>
      </c>
      <c r="G512" s="23">
        <v>261</v>
      </c>
    </row>
    <row r="513" spans="1:7" x14ac:dyDescent="0.25">
      <c r="A513" s="23">
        <v>2023</v>
      </c>
      <c r="B513" s="23" t="s">
        <v>195</v>
      </c>
      <c r="C513" s="23" t="s">
        <v>202</v>
      </c>
      <c r="D513" s="23" t="s">
        <v>190</v>
      </c>
      <c r="E513" s="23">
        <v>241</v>
      </c>
      <c r="F513" s="14">
        <v>23</v>
      </c>
      <c r="G513" s="23">
        <v>264</v>
      </c>
    </row>
    <row r="514" spans="1:7" x14ac:dyDescent="0.25">
      <c r="A514" s="23">
        <v>2024</v>
      </c>
      <c r="B514" s="23" t="s">
        <v>187</v>
      </c>
      <c r="C514" s="23" t="s">
        <v>181</v>
      </c>
      <c r="D514" s="23" t="s">
        <v>188</v>
      </c>
      <c r="E514" s="23">
        <v>185</v>
      </c>
      <c r="F514" s="14">
        <v>109</v>
      </c>
      <c r="G514" s="23">
        <v>294</v>
      </c>
    </row>
    <row r="515" spans="1:7" x14ac:dyDescent="0.25">
      <c r="A515" s="23">
        <v>2024</v>
      </c>
      <c r="B515" s="23" t="s">
        <v>187</v>
      </c>
      <c r="C515" s="23" t="s">
        <v>181</v>
      </c>
      <c r="D515" s="23" t="s">
        <v>190</v>
      </c>
      <c r="E515" s="23">
        <v>59</v>
      </c>
      <c r="F515" s="14">
        <v>53</v>
      </c>
      <c r="G515" s="23">
        <v>112</v>
      </c>
    </row>
    <row r="516" spans="1:7" x14ac:dyDescent="0.25">
      <c r="A516" s="23">
        <v>2024</v>
      </c>
      <c r="B516" s="23" t="s">
        <v>187</v>
      </c>
      <c r="C516" s="23" t="s">
        <v>182</v>
      </c>
      <c r="D516" s="23" t="s">
        <v>188</v>
      </c>
      <c r="E516" s="23">
        <v>135</v>
      </c>
      <c r="F516" s="14">
        <v>46</v>
      </c>
      <c r="G516" s="23">
        <v>181</v>
      </c>
    </row>
    <row r="517" spans="1:7" x14ac:dyDescent="0.25">
      <c r="A517" s="23">
        <v>2024</v>
      </c>
      <c r="B517" s="23" t="s">
        <v>187</v>
      </c>
      <c r="C517" s="23" t="s">
        <v>182</v>
      </c>
      <c r="D517" s="23" t="s">
        <v>190</v>
      </c>
      <c r="E517" s="23">
        <v>64</v>
      </c>
      <c r="F517" s="14">
        <v>21</v>
      </c>
      <c r="G517" s="23">
        <v>85</v>
      </c>
    </row>
    <row r="518" spans="1:7" x14ac:dyDescent="0.25">
      <c r="A518" s="23">
        <v>2024</v>
      </c>
      <c r="B518" s="23" t="s">
        <v>187</v>
      </c>
      <c r="C518" s="23" t="s">
        <v>197</v>
      </c>
      <c r="D518" s="23" t="s">
        <v>188</v>
      </c>
      <c r="E518" s="23">
        <v>163</v>
      </c>
      <c r="F518" s="14">
        <v>18</v>
      </c>
      <c r="G518" s="23">
        <v>181</v>
      </c>
    </row>
    <row r="519" spans="1:7" x14ac:dyDescent="0.25">
      <c r="A519" s="23">
        <v>2024</v>
      </c>
      <c r="B519" s="23" t="s">
        <v>187</v>
      </c>
      <c r="C519" s="23" t="s">
        <v>197</v>
      </c>
      <c r="D519" s="23" t="s">
        <v>190</v>
      </c>
      <c r="E519" s="23">
        <v>105</v>
      </c>
      <c r="F519" s="14">
        <v>17</v>
      </c>
      <c r="G519" s="23">
        <v>122</v>
      </c>
    </row>
    <row r="520" spans="1:7" x14ac:dyDescent="0.25">
      <c r="A520" s="23">
        <v>2024</v>
      </c>
      <c r="B520" s="23" t="s">
        <v>187</v>
      </c>
      <c r="C520" s="23" t="s">
        <v>198</v>
      </c>
      <c r="D520" s="23" t="s">
        <v>188</v>
      </c>
      <c r="E520" s="23">
        <v>221</v>
      </c>
      <c r="F520" s="14">
        <v>80</v>
      </c>
      <c r="G520" s="23">
        <v>301</v>
      </c>
    </row>
    <row r="521" spans="1:7" x14ac:dyDescent="0.25">
      <c r="A521" s="23">
        <v>2024</v>
      </c>
      <c r="B521" s="23" t="s">
        <v>187</v>
      </c>
      <c r="C521" s="23" t="s">
        <v>198</v>
      </c>
      <c r="D521" s="23" t="s">
        <v>190</v>
      </c>
      <c r="E521" s="23">
        <v>206</v>
      </c>
      <c r="F521" s="14">
        <v>76</v>
      </c>
      <c r="G521" s="23">
        <v>282</v>
      </c>
    </row>
    <row r="522" spans="1:7" x14ac:dyDescent="0.25">
      <c r="A522" s="23">
        <v>2024</v>
      </c>
      <c r="B522" s="23" t="s">
        <v>187</v>
      </c>
      <c r="C522" s="23" t="s">
        <v>199</v>
      </c>
      <c r="D522" s="23" t="s">
        <v>188</v>
      </c>
      <c r="E522" s="23">
        <v>119</v>
      </c>
      <c r="F522" s="14">
        <v>85</v>
      </c>
      <c r="G522" s="23">
        <v>204</v>
      </c>
    </row>
    <row r="523" spans="1:7" x14ac:dyDescent="0.25">
      <c r="A523" s="23">
        <v>2024</v>
      </c>
      <c r="B523" s="23" t="s">
        <v>187</v>
      </c>
      <c r="C523" s="23" t="s">
        <v>199</v>
      </c>
      <c r="D523" s="23" t="s">
        <v>190</v>
      </c>
      <c r="E523" s="23">
        <v>74</v>
      </c>
      <c r="F523" s="14">
        <v>50</v>
      </c>
      <c r="G523" s="23">
        <v>124</v>
      </c>
    </row>
    <row r="524" spans="1:7" x14ac:dyDescent="0.25">
      <c r="A524" s="23">
        <v>2024</v>
      </c>
      <c r="B524" s="23" t="s">
        <v>187</v>
      </c>
      <c r="C524" s="23" t="s">
        <v>200</v>
      </c>
      <c r="D524" s="23" t="s">
        <v>188</v>
      </c>
      <c r="E524" s="23">
        <v>144</v>
      </c>
      <c r="F524" s="14">
        <v>104</v>
      </c>
      <c r="G524" s="23">
        <v>248</v>
      </c>
    </row>
    <row r="525" spans="1:7" x14ac:dyDescent="0.25">
      <c r="A525" s="23">
        <v>2024</v>
      </c>
      <c r="B525" s="23" t="s">
        <v>187</v>
      </c>
      <c r="C525" s="23" t="s">
        <v>200</v>
      </c>
      <c r="D525" s="23" t="s">
        <v>190</v>
      </c>
      <c r="E525" s="23">
        <v>88</v>
      </c>
      <c r="F525" s="14">
        <v>63</v>
      </c>
      <c r="G525" s="23">
        <v>151</v>
      </c>
    </row>
    <row r="526" spans="1:7" x14ac:dyDescent="0.25">
      <c r="A526" s="23">
        <v>2024</v>
      </c>
      <c r="B526" s="23" t="s">
        <v>187</v>
      </c>
      <c r="C526" s="23" t="s">
        <v>201</v>
      </c>
      <c r="D526" s="23" t="s">
        <v>188</v>
      </c>
      <c r="E526" s="23">
        <v>197</v>
      </c>
      <c r="F526" s="14">
        <v>66</v>
      </c>
      <c r="G526" s="23">
        <v>263</v>
      </c>
    </row>
    <row r="527" spans="1:7" x14ac:dyDescent="0.25">
      <c r="A527" s="23">
        <v>2024</v>
      </c>
      <c r="B527" s="23" t="s">
        <v>187</v>
      </c>
      <c r="C527" s="23" t="s">
        <v>201</v>
      </c>
      <c r="D527" s="23" t="s">
        <v>190</v>
      </c>
      <c r="E527" s="23">
        <v>172</v>
      </c>
      <c r="F527" s="14">
        <v>109</v>
      </c>
      <c r="G527" s="23">
        <v>281</v>
      </c>
    </row>
    <row r="528" spans="1:7" x14ac:dyDescent="0.25">
      <c r="A528" s="23">
        <v>2024</v>
      </c>
      <c r="B528" s="23" t="s">
        <v>187</v>
      </c>
      <c r="C528" s="23" t="s">
        <v>202</v>
      </c>
      <c r="D528" s="23" t="s">
        <v>188</v>
      </c>
      <c r="E528" s="23">
        <v>126</v>
      </c>
      <c r="F528" s="14">
        <v>48</v>
      </c>
      <c r="G528" s="23">
        <v>174</v>
      </c>
    </row>
    <row r="529" spans="1:7" x14ac:dyDescent="0.25">
      <c r="A529" s="23">
        <v>2024</v>
      </c>
      <c r="B529" s="23" t="s">
        <v>187</v>
      </c>
      <c r="C529" s="23" t="s">
        <v>202</v>
      </c>
      <c r="D529" s="23" t="s">
        <v>190</v>
      </c>
      <c r="E529" s="23">
        <v>55</v>
      </c>
      <c r="F529" s="14">
        <v>45</v>
      </c>
      <c r="G529" s="23">
        <v>100</v>
      </c>
    </row>
    <row r="530" spans="1:7" x14ac:dyDescent="0.25">
      <c r="A530" s="23">
        <v>2024</v>
      </c>
      <c r="B530" s="23" t="s">
        <v>189</v>
      </c>
      <c r="C530" s="23" t="s">
        <v>181</v>
      </c>
      <c r="D530" s="23" t="s">
        <v>188</v>
      </c>
      <c r="E530" s="23">
        <v>257</v>
      </c>
      <c r="F530" s="14">
        <v>12</v>
      </c>
      <c r="G530" s="23">
        <v>269</v>
      </c>
    </row>
    <row r="531" spans="1:7" x14ac:dyDescent="0.25">
      <c r="A531" s="23">
        <v>2024</v>
      </c>
      <c r="B531" s="23" t="s">
        <v>189</v>
      </c>
      <c r="C531" s="23" t="s">
        <v>181</v>
      </c>
      <c r="D531" s="23" t="s">
        <v>190</v>
      </c>
      <c r="E531" s="23">
        <v>225</v>
      </c>
      <c r="F531" s="14">
        <v>62</v>
      </c>
      <c r="G531" s="23">
        <v>287</v>
      </c>
    </row>
    <row r="532" spans="1:7" x14ac:dyDescent="0.25">
      <c r="A532" s="23">
        <v>2024</v>
      </c>
      <c r="B532" s="23" t="s">
        <v>189</v>
      </c>
      <c r="C532" s="23" t="s">
        <v>182</v>
      </c>
      <c r="D532" s="23" t="s">
        <v>188</v>
      </c>
      <c r="E532" s="23">
        <v>89</v>
      </c>
      <c r="F532" s="14">
        <v>64</v>
      </c>
      <c r="G532" s="23">
        <v>153</v>
      </c>
    </row>
    <row r="533" spans="1:7" x14ac:dyDescent="0.25">
      <c r="A533" s="23">
        <v>2024</v>
      </c>
      <c r="B533" s="23" t="s">
        <v>189</v>
      </c>
      <c r="C533" s="23" t="s">
        <v>182</v>
      </c>
      <c r="D533" s="23" t="s">
        <v>190</v>
      </c>
      <c r="E533" s="23">
        <v>66</v>
      </c>
      <c r="F533" s="14">
        <v>74</v>
      </c>
      <c r="G533" s="23">
        <v>140</v>
      </c>
    </row>
    <row r="534" spans="1:7" x14ac:dyDescent="0.25">
      <c r="A534" s="23">
        <v>2024</v>
      </c>
      <c r="B534" s="23" t="s">
        <v>189</v>
      </c>
      <c r="C534" s="23" t="s">
        <v>197</v>
      </c>
      <c r="D534" s="23" t="s">
        <v>188</v>
      </c>
      <c r="E534" s="23">
        <v>100</v>
      </c>
      <c r="F534" s="14">
        <v>80</v>
      </c>
      <c r="G534" s="23">
        <v>180</v>
      </c>
    </row>
    <row r="535" spans="1:7" x14ac:dyDescent="0.25">
      <c r="A535" s="23">
        <v>2024</v>
      </c>
      <c r="B535" s="23" t="s">
        <v>189</v>
      </c>
      <c r="C535" s="23" t="s">
        <v>197</v>
      </c>
      <c r="D535" s="23" t="s">
        <v>190</v>
      </c>
      <c r="E535" s="23">
        <v>105</v>
      </c>
      <c r="F535" s="14">
        <v>90</v>
      </c>
      <c r="G535" s="23">
        <v>195</v>
      </c>
    </row>
    <row r="536" spans="1:7" x14ac:dyDescent="0.25">
      <c r="A536" s="23">
        <v>2024</v>
      </c>
      <c r="B536" s="23" t="s">
        <v>189</v>
      </c>
      <c r="C536" s="23" t="s">
        <v>198</v>
      </c>
      <c r="D536" s="23" t="s">
        <v>188</v>
      </c>
      <c r="E536" s="23">
        <v>115</v>
      </c>
      <c r="F536" s="14">
        <v>19</v>
      </c>
      <c r="G536" s="23">
        <v>134</v>
      </c>
    </row>
    <row r="537" spans="1:7" x14ac:dyDescent="0.25">
      <c r="A537" s="23">
        <v>2024</v>
      </c>
      <c r="B537" s="23" t="s">
        <v>189</v>
      </c>
      <c r="C537" s="23" t="s">
        <v>198</v>
      </c>
      <c r="D537" s="23" t="s">
        <v>190</v>
      </c>
      <c r="E537" s="23">
        <v>128</v>
      </c>
      <c r="F537" s="14">
        <v>19</v>
      </c>
      <c r="G537" s="23">
        <v>147</v>
      </c>
    </row>
    <row r="538" spans="1:7" x14ac:dyDescent="0.25">
      <c r="A538" s="23">
        <v>2024</v>
      </c>
      <c r="B538" s="23" t="s">
        <v>189</v>
      </c>
      <c r="C538" s="23" t="s">
        <v>199</v>
      </c>
      <c r="D538" s="23" t="s">
        <v>188</v>
      </c>
      <c r="E538" s="23">
        <v>143</v>
      </c>
      <c r="F538" s="14">
        <v>90</v>
      </c>
      <c r="G538" s="23">
        <v>233</v>
      </c>
    </row>
    <row r="539" spans="1:7" x14ac:dyDescent="0.25">
      <c r="A539" s="23">
        <v>2024</v>
      </c>
      <c r="B539" s="23" t="s">
        <v>189</v>
      </c>
      <c r="C539" s="23" t="s">
        <v>199</v>
      </c>
      <c r="D539" s="23" t="s">
        <v>190</v>
      </c>
      <c r="E539" s="23">
        <v>108</v>
      </c>
      <c r="F539" s="14">
        <v>106</v>
      </c>
      <c r="G539" s="23">
        <v>214</v>
      </c>
    </row>
    <row r="540" spans="1:7" x14ac:dyDescent="0.25">
      <c r="A540" s="23">
        <v>2024</v>
      </c>
      <c r="B540" s="23" t="s">
        <v>189</v>
      </c>
      <c r="C540" s="23" t="s">
        <v>200</v>
      </c>
      <c r="D540" s="23" t="s">
        <v>188</v>
      </c>
      <c r="E540" s="23">
        <v>78</v>
      </c>
      <c r="F540" s="14">
        <v>75</v>
      </c>
      <c r="G540" s="23">
        <v>153</v>
      </c>
    </row>
    <row r="541" spans="1:7" x14ac:dyDescent="0.25">
      <c r="A541" s="23">
        <v>2024</v>
      </c>
      <c r="B541" s="23" t="s">
        <v>189</v>
      </c>
      <c r="C541" s="23" t="s">
        <v>200</v>
      </c>
      <c r="D541" s="23" t="s">
        <v>190</v>
      </c>
      <c r="E541" s="23">
        <v>62</v>
      </c>
      <c r="F541" s="14">
        <v>109</v>
      </c>
      <c r="G541" s="23">
        <v>171</v>
      </c>
    </row>
    <row r="542" spans="1:7" x14ac:dyDescent="0.25">
      <c r="A542" s="23">
        <v>2024</v>
      </c>
      <c r="B542" s="23" t="s">
        <v>189</v>
      </c>
      <c r="C542" s="23" t="s">
        <v>201</v>
      </c>
      <c r="D542" s="23" t="s">
        <v>188</v>
      </c>
      <c r="E542" s="23">
        <v>40</v>
      </c>
      <c r="F542" s="14">
        <v>102</v>
      </c>
      <c r="G542" s="23">
        <v>142</v>
      </c>
    </row>
    <row r="543" spans="1:7" x14ac:dyDescent="0.25">
      <c r="A543" s="23">
        <v>2024</v>
      </c>
      <c r="B543" s="23" t="s">
        <v>189</v>
      </c>
      <c r="C543" s="23" t="s">
        <v>201</v>
      </c>
      <c r="D543" s="23" t="s">
        <v>190</v>
      </c>
      <c r="E543" s="23">
        <v>151</v>
      </c>
      <c r="F543" s="14">
        <v>109</v>
      </c>
      <c r="G543" s="23">
        <v>260</v>
      </c>
    </row>
    <row r="544" spans="1:7" x14ac:dyDescent="0.25">
      <c r="A544" s="23">
        <v>2024</v>
      </c>
      <c r="B544" s="23" t="s">
        <v>189</v>
      </c>
      <c r="C544" s="23" t="s">
        <v>202</v>
      </c>
      <c r="D544" s="23" t="s">
        <v>188</v>
      </c>
      <c r="E544" s="23">
        <v>218</v>
      </c>
      <c r="F544" s="14">
        <v>21</v>
      </c>
      <c r="G544" s="23">
        <v>239</v>
      </c>
    </row>
    <row r="545" spans="1:7" x14ac:dyDescent="0.25">
      <c r="A545" s="23">
        <v>2024</v>
      </c>
      <c r="B545" s="23" t="s">
        <v>189</v>
      </c>
      <c r="C545" s="23" t="s">
        <v>202</v>
      </c>
      <c r="D545" s="23" t="s">
        <v>190</v>
      </c>
      <c r="E545" s="23">
        <v>165</v>
      </c>
      <c r="F545" s="14">
        <v>53</v>
      </c>
      <c r="G545" s="23">
        <v>218</v>
      </c>
    </row>
    <row r="546" spans="1:7" x14ac:dyDescent="0.25">
      <c r="A546" s="23">
        <v>2024</v>
      </c>
      <c r="B546" s="23" t="s">
        <v>191</v>
      </c>
      <c r="C546" s="23" t="s">
        <v>181</v>
      </c>
      <c r="D546" s="23" t="s">
        <v>188</v>
      </c>
      <c r="E546" s="23">
        <v>196</v>
      </c>
      <c r="F546" s="14">
        <v>22</v>
      </c>
      <c r="G546" s="23">
        <v>218</v>
      </c>
    </row>
    <row r="547" spans="1:7" x14ac:dyDescent="0.25">
      <c r="A547" s="23">
        <v>2024</v>
      </c>
      <c r="B547" s="23" t="s">
        <v>191</v>
      </c>
      <c r="C547" s="23" t="s">
        <v>181</v>
      </c>
      <c r="D547" s="23" t="s">
        <v>190</v>
      </c>
      <c r="E547" s="23">
        <v>74</v>
      </c>
      <c r="F547" s="14">
        <v>40</v>
      </c>
      <c r="G547" s="23">
        <v>114</v>
      </c>
    </row>
    <row r="548" spans="1:7" x14ac:dyDescent="0.25">
      <c r="A548" s="23">
        <v>2024</v>
      </c>
      <c r="B548" s="23" t="s">
        <v>191</v>
      </c>
      <c r="C548" s="23" t="s">
        <v>182</v>
      </c>
      <c r="D548" s="23" t="s">
        <v>188</v>
      </c>
      <c r="E548" s="23">
        <v>136</v>
      </c>
      <c r="F548" s="14">
        <v>68</v>
      </c>
      <c r="G548" s="23">
        <v>204</v>
      </c>
    </row>
    <row r="549" spans="1:7" x14ac:dyDescent="0.25">
      <c r="A549" s="23">
        <v>2024</v>
      </c>
      <c r="B549" s="23" t="s">
        <v>191</v>
      </c>
      <c r="C549" s="23" t="s">
        <v>182</v>
      </c>
      <c r="D549" s="23" t="s">
        <v>190</v>
      </c>
      <c r="E549" s="23">
        <v>180</v>
      </c>
      <c r="F549" s="14">
        <v>107</v>
      </c>
      <c r="G549" s="23">
        <v>287</v>
      </c>
    </row>
    <row r="550" spans="1:7" x14ac:dyDescent="0.25">
      <c r="A550" s="23">
        <v>2024</v>
      </c>
      <c r="B550" s="23" t="s">
        <v>191</v>
      </c>
      <c r="C550" s="23" t="s">
        <v>197</v>
      </c>
      <c r="D550" s="23" t="s">
        <v>188</v>
      </c>
      <c r="E550" s="23">
        <v>255</v>
      </c>
      <c r="F550" s="14">
        <v>25</v>
      </c>
      <c r="G550" s="23">
        <v>280</v>
      </c>
    </row>
    <row r="551" spans="1:7" x14ac:dyDescent="0.25">
      <c r="A551" s="23">
        <v>2024</v>
      </c>
      <c r="B551" s="23" t="s">
        <v>191</v>
      </c>
      <c r="C551" s="23" t="s">
        <v>197</v>
      </c>
      <c r="D551" s="23" t="s">
        <v>190</v>
      </c>
      <c r="E551" s="23">
        <v>44</v>
      </c>
      <c r="F551" s="14">
        <v>84</v>
      </c>
      <c r="G551" s="23">
        <v>128</v>
      </c>
    </row>
    <row r="552" spans="1:7" x14ac:dyDescent="0.25">
      <c r="A552" s="23">
        <v>2024</v>
      </c>
      <c r="B552" s="23" t="s">
        <v>191</v>
      </c>
      <c r="C552" s="23" t="s">
        <v>198</v>
      </c>
      <c r="D552" s="23" t="s">
        <v>188</v>
      </c>
      <c r="E552" s="23">
        <v>135</v>
      </c>
      <c r="F552" s="14">
        <v>36</v>
      </c>
      <c r="G552" s="23">
        <v>171</v>
      </c>
    </row>
    <row r="553" spans="1:7" x14ac:dyDescent="0.25">
      <c r="A553" s="23">
        <v>2024</v>
      </c>
      <c r="B553" s="23" t="s">
        <v>191</v>
      </c>
      <c r="C553" s="23" t="s">
        <v>198</v>
      </c>
      <c r="D553" s="23" t="s">
        <v>190</v>
      </c>
      <c r="E553" s="23">
        <v>217</v>
      </c>
      <c r="F553" s="14">
        <v>72</v>
      </c>
      <c r="G553" s="23">
        <v>289</v>
      </c>
    </row>
    <row r="554" spans="1:7" x14ac:dyDescent="0.25">
      <c r="A554" s="23">
        <v>2024</v>
      </c>
      <c r="B554" s="23" t="s">
        <v>191</v>
      </c>
      <c r="C554" s="23" t="s">
        <v>199</v>
      </c>
      <c r="D554" s="23" t="s">
        <v>188</v>
      </c>
      <c r="E554" s="23">
        <v>48</v>
      </c>
      <c r="F554" s="14">
        <v>50</v>
      </c>
      <c r="G554" s="23">
        <v>98</v>
      </c>
    </row>
    <row r="555" spans="1:7" x14ac:dyDescent="0.25">
      <c r="A555" s="23">
        <v>2024</v>
      </c>
      <c r="B555" s="23" t="s">
        <v>191</v>
      </c>
      <c r="C555" s="23" t="s">
        <v>199</v>
      </c>
      <c r="D555" s="23" t="s">
        <v>190</v>
      </c>
      <c r="E555" s="23">
        <v>167</v>
      </c>
      <c r="F555" s="14">
        <v>62</v>
      </c>
      <c r="G555" s="23">
        <v>229</v>
      </c>
    </row>
    <row r="556" spans="1:7" x14ac:dyDescent="0.25">
      <c r="A556" s="23">
        <v>2024</v>
      </c>
      <c r="B556" s="23" t="s">
        <v>191</v>
      </c>
      <c r="C556" s="23" t="s">
        <v>200</v>
      </c>
      <c r="D556" s="23" t="s">
        <v>188</v>
      </c>
      <c r="E556" s="23">
        <v>144</v>
      </c>
      <c r="F556" s="14">
        <v>44</v>
      </c>
      <c r="G556" s="23">
        <v>188</v>
      </c>
    </row>
    <row r="557" spans="1:7" x14ac:dyDescent="0.25">
      <c r="A557" s="23">
        <v>2024</v>
      </c>
      <c r="B557" s="23" t="s">
        <v>191</v>
      </c>
      <c r="C557" s="23" t="s">
        <v>200</v>
      </c>
      <c r="D557" s="23" t="s">
        <v>190</v>
      </c>
      <c r="E557" s="23">
        <v>49</v>
      </c>
      <c r="F557" s="14">
        <v>47</v>
      </c>
      <c r="G557" s="23">
        <v>96</v>
      </c>
    </row>
    <row r="558" spans="1:7" x14ac:dyDescent="0.25">
      <c r="A558" s="23">
        <v>2024</v>
      </c>
      <c r="B558" s="23" t="s">
        <v>191</v>
      </c>
      <c r="C558" s="23" t="s">
        <v>201</v>
      </c>
      <c r="D558" s="23" t="s">
        <v>188</v>
      </c>
      <c r="E558" s="23">
        <v>174</v>
      </c>
      <c r="F558" s="14">
        <v>85</v>
      </c>
      <c r="G558" s="23">
        <v>259</v>
      </c>
    </row>
    <row r="559" spans="1:7" x14ac:dyDescent="0.25">
      <c r="A559" s="23">
        <v>2024</v>
      </c>
      <c r="B559" s="23" t="s">
        <v>191</v>
      </c>
      <c r="C559" s="23" t="s">
        <v>201</v>
      </c>
      <c r="D559" s="23" t="s">
        <v>190</v>
      </c>
      <c r="E559" s="23">
        <v>137</v>
      </c>
      <c r="F559" s="14">
        <v>17</v>
      </c>
      <c r="G559" s="23">
        <v>154</v>
      </c>
    </row>
    <row r="560" spans="1:7" x14ac:dyDescent="0.25">
      <c r="A560" s="23">
        <v>2024</v>
      </c>
      <c r="B560" s="23" t="s">
        <v>191</v>
      </c>
      <c r="C560" s="23" t="s">
        <v>202</v>
      </c>
      <c r="D560" s="23" t="s">
        <v>188</v>
      </c>
      <c r="E560" s="23">
        <v>164</v>
      </c>
      <c r="F560" s="14">
        <v>21</v>
      </c>
      <c r="G560" s="23">
        <v>185</v>
      </c>
    </row>
    <row r="561" spans="1:7" x14ac:dyDescent="0.25">
      <c r="A561" s="23">
        <v>2024</v>
      </c>
      <c r="B561" s="23" t="s">
        <v>191</v>
      </c>
      <c r="C561" s="23" t="s">
        <v>202</v>
      </c>
      <c r="D561" s="23" t="s">
        <v>190</v>
      </c>
      <c r="E561" s="23">
        <v>118</v>
      </c>
      <c r="F561" s="14">
        <v>85</v>
      </c>
      <c r="G561" s="23">
        <v>203</v>
      </c>
    </row>
    <row r="562" spans="1:7" x14ac:dyDescent="0.25">
      <c r="A562" s="23">
        <v>2024</v>
      </c>
      <c r="B562" s="23" t="s">
        <v>193</v>
      </c>
      <c r="C562" s="23" t="s">
        <v>181</v>
      </c>
      <c r="D562" s="23" t="s">
        <v>188</v>
      </c>
      <c r="E562" s="23">
        <v>118</v>
      </c>
      <c r="F562" s="14">
        <v>50</v>
      </c>
      <c r="G562" s="23">
        <v>168</v>
      </c>
    </row>
    <row r="563" spans="1:7" x14ac:dyDescent="0.25">
      <c r="A563" s="23">
        <v>2024</v>
      </c>
      <c r="B563" s="23" t="s">
        <v>193</v>
      </c>
      <c r="C563" s="23" t="s">
        <v>181</v>
      </c>
      <c r="D563" s="23" t="s">
        <v>190</v>
      </c>
      <c r="E563" s="23">
        <v>173</v>
      </c>
      <c r="F563" s="14">
        <v>11</v>
      </c>
      <c r="G563" s="23">
        <v>184</v>
      </c>
    </row>
    <row r="564" spans="1:7" x14ac:dyDescent="0.25">
      <c r="A564" s="23">
        <v>2024</v>
      </c>
      <c r="B564" s="23" t="s">
        <v>193</v>
      </c>
      <c r="C564" s="23" t="s">
        <v>182</v>
      </c>
      <c r="D564" s="23" t="s">
        <v>188</v>
      </c>
      <c r="E564" s="23">
        <v>137</v>
      </c>
      <c r="F564" s="14">
        <v>93</v>
      </c>
      <c r="G564" s="23">
        <v>230</v>
      </c>
    </row>
    <row r="565" spans="1:7" x14ac:dyDescent="0.25">
      <c r="A565" s="23">
        <v>2024</v>
      </c>
      <c r="B565" s="23" t="s">
        <v>193</v>
      </c>
      <c r="C565" s="23" t="s">
        <v>182</v>
      </c>
      <c r="D565" s="23" t="s">
        <v>190</v>
      </c>
      <c r="E565" s="23">
        <v>59</v>
      </c>
      <c r="F565" s="14">
        <v>43</v>
      </c>
      <c r="G565" s="23">
        <v>102</v>
      </c>
    </row>
    <row r="566" spans="1:7" x14ac:dyDescent="0.25">
      <c r="A566" s="23">
        <v>2024</v>
      </c>
      <c r="B566" s="23" t="s">
        <v>193</v>
      </c>
      <c r="C566" s="23" t="s">
        <v>197</v>
      </c>
      <c r="D566" s="23" t="s">
        <v>188</v>
      </c>
      <c r="E566" s="23">
        <v>66</v>
      </c>
      <c r="F566" s="14">
        <v>82</v>
      </c>
      <c r="G566" s="23">
        <v>148</v>
      </c>
    </row>
    <row r="567" spans="1:7" x14ac:dyDescent="0.25">
      <c r="A567" s="23">
        <v>2024</v>
      </c>
      <c r="B567" s="23" t="s">
        <v>193</v>
      </c>
      <c r="C567" s="23" t="s">
        <v>197</v>
      </c>
      <c r="D567" s="23" t="s">
        <v>190</v>
      </c>
      <c r="E567" s="23">
        <v>248</v>
      </c>
      <c r="F567" s="14">
        <v>41</v>
      </c>
      <c r="G567" s="23">
        <v>289</v>
      </c>
    </row>
    <row r="568" spans="1:7" x14ac:dyDescent="0.25">
      <c r="A568" s="23">
        <v>2024</v>
      </c>
      <c r="B568" s="23" t="s">
        <v>193</v>
      </c>
      <c r="C568" s="23" t="s">
        <v>198</v>
      </c>
      <c r="D568" s="23" t="s">
        <v>188</v>
      </c>
      <c r="E568" s="23">
        <v>45</v>
      </c>
      <c r="F568" s="14">
        <v>11</v>
      </c>
      <c r="G568" s="23">
        <v>56</v>
      </c>
    </row>
    <row r="569" spans="1:7" x14ac:dyDescent="0.25">
      <c r="A569" s="23">
        <v>2024</v>
      </c>
      <c r="B569" s="23" t="s">
        <v>193</v>
      </c>
      <c r="C569" s="23" t="s">
        <v>198</v>
      </c>
      <c r="D569" s="23" t="s">
        <v>190</v>
      </c>
      <c r="E569" s="23">
        <v>40</v>
      </c>
      <c r="F569" s="14">
        <v>76</v>
      </c>
      <c r="G569" s="23">
        <v>116</v>
      </c>
    </row>
    <row r="570" spans="1:7" x14ac:dyDescent="0.25">
      <c r="A570" s="23">
        <v>2024</v>
      </c>
      <c r="B570" s="23" t="s">
        <v>193</v>
      </c>
      <c r="C570" s="23" t="s">
        <v>199</v>
      </c>
      <c r="D570" s="23" t="s">
        <v>188</v>
      </c>
      <c r="E570" s="23">
        <v>197</v>
      </c>
      <c r="F570" s="14">
        <v>29</v>
      </c>
      <c r="G570" s="23">
        <v>226</v>
      </c>
    </row>
    <row r="571" spans="1:7" x14ac:dyDescent="0.25">
      <c r="A571" s="23">
        <v>2024</v>
      </c>
      <c r="B571" s="23" t="s">
        <v>193</v>
      </c>
      <c r="C571" s="23" t="s">
        <v>199</v>
      </c>
      <c r="D571" s="23" t="s">
        <v>190</v>
      </c>
      <c r="E571" s="23">
        <v>103</v>
      </c>
      <c r="F571" s="14">
        <v>13</v>
      </c>
      <c r="G571" s="23">
        <v>116</v>
      </c>
    </row>
    <row r="572" spans="1:7" x14ac:dyDescent="0.25">
      <c r="A572" s="23">
        <v>2024</v>
      </c>
      <c r="B572" s="23" t="s">
        <v>193</v>
      </c>
      <c r="C572" s="23" t="s">
        <v>200</v>
      </c>
      <c r="D572" s="23" t="s">
        <v>188</v>
      </c>
      <c r="E572" s="23">
        <v>175</v>
      </c>
      <c r="F572" s="14">
        <v>109</v>
      </c>
      <c r="G572" s="23">
        <v>284</v>
      </c>
    </row>
    <row r="573" spans="1:7" x14ac:dyDescent="0.25">
      <c r="A573" s="23">
        <v>2024</v>
      </c>
      <c r="B573" s="23" t="s">
        <v>193</v>
      </c>
      <c r="C573" s="23" t="s">
        <v>200</v>
      </c>
      <c r="D573" s="23" t="s">
        <v>190</v>
      </c>
      <c r="E573" s="23">
        <v>234</v>
      </c>
      <c r="F573" s="14">
        <v>24</v>
      </c>
      <c r="G573" s="23">
        <v>258</v>
      </c>
    </row>
    <row r="574" spans="1:7" x14ac:dyDescent="0.25">
      <c r="A574" s="23">
        <v>2024</v>
      </c>
      <c r="B574" s="23" t="s">
        <v>193</v>
      </c>
      <c r="C574" s="23" t="s">
        <v>201</v>
      </c>
      <c r="D574" s="23" t="s">
        <v>188</v>
      </c>
      <c r="E574" s="23">
        <v>194</v>
      </c>
      <c r="F574" s="14">
        <v>68</v>
      </c>
      <c r="G574" s="23">
        <v>262</v>
      </c>
    </row>
    <row r="575" spans="1:7" x14ac:dyDescent="0.25">
      <c r="A575" s="23">
        <v>2024</v>
      </c>
      <c r="B575" s="23" t="s">
        <v>193</v>
      </c>
      <c r="C575" s="23" t="s">
        <v>201</v>
      </c>
      <c r="D575" s="23" t="s">
        <v>190</v>
      </c>
      <c r="E575" s="23">
        <v>198</v>
      </c>
      <c r="F575" s="14">
        <v>62</v>
      </c>
      <c r="G575" s="23">
        <v>260</v>
      </c>
    </row>
    <row r="576" spans="1:7" x14ac:dyDescent="0.25">
      <c r="A576" s="23">
        <v>2024</v>
      </c>
      <c r="B576" s="23" t="s">
        <v>193</v>
      </c>
      <c r="C576" s="23" t="s">
        <v>202</v>
      </c>
      <c r="D576" s="23" t="s">
        <v>188</v>
      </c>
      <c r="E576" s="23">
        <v>53</v>
      </c>
      <c r="F576" s="14">
        <v>103</v>
      </c>
      <c r="G576" s="23">
        <v>156</v>
      </c>
    </row>
    <row r="577" spans="1:7" x14ac:dyDescent="0.25">
      <c r="A577" s="23">
        <v>2024</v>
      </c>
      <c r="B577" s="23" t="s">
        <v>193</v>
      </c>
      <c r="C577" s="23" t="s">
        <v>202</v>
      </c>
      <c r="D577" s="23" t="s">
        <v>190</v>
      </c>
      <c r="E577" s="23">
        <v>171</v>
      </c>
      <c r="F577" s="14">
        <v>21</v>
      </c>
      <c r="G577" s="23">
        <v>192</v>
      </c>
    </row>
    <row r="578" spans="1:7" x14ac:dyDescent="0.25">
      <c r="A578" s="23">
        <v>2024</v>
      </c>
      <c r="B578" s="23" t="s">
        <v>192</v>
      </c>
      <c r="C578" s="23" t="s">
        <v>181</v>
      </c>
      <c r="D578" s="23" t="s">
        <v>188</v>
      </c>
      <c r="E578" s="23">
        <v>111</v>
      </c>
      <c r="F578" s="14">
        <v>88</v>
      </c>
      <c r="G578" s="23">
        <v>199</v>
      </c>
    </row>
    <row r="579" spans="1:7" x14ac:dyDescent="0.25">
      <c r="A579" s="23">
        <v>2024</v>
      </c>
      <c r="B579" s="23" t="s">
        <v>192</v>
      </c>
      <c r="C579" s="23" t="s">
        <v>181</v>
      </c>
      <c r="D579" s="23" t="s">
        <v>190</v>
      </c>
      <c r="E579" s="23">
        <v>147</v>
      </c>
      <c r="F579" s="14">
        <v>41</v>
      </c>
      <c r="G579" s="23">
        <v>188</v>
      </c>
    </row>
    <row r="580" spans="1:7" x14ac:dyDescent="0.25">
      <c r="A580" s="23">
        <v>2024</v>
      </c>
      <c r="B580" s="23" t="s">
        <v>192</v>
      </c>
      <c r="C580" s="23" t="s">
        <v>182</v>
      </c>
      <c r="D580" s="23" t="s">
        <v>188</v>
      </c>
      <c r="E580" s="23">
        <v>129</v>
      </c>
      <c r="F580" s="14">
        <v>66</v>
      </c>
      <c r="G580" s="23">
        <v>195</v>
      </c>
    </row>
    <row r="581" spans="1:7" x14ac:dyDescent="0.25">
      <c r="A581" s="23">
        <v>2024</v>
      </c>
      <c r="B581" s="23" t="s">
        <v>192</v>
      </c>
      <c r="C581" s="23" t="s">
        <v>182</v>
      </c>
      <c r="D581" s="23" t="s">
        <v>190</v>
      </c>
      <c r="E581" s="23">
        <v>234</v>
      </c>
      <c r="F581" s="14">
        <v>28</v>
      </c>
      <c r="G581" s="23">
        <v>262</v>
      </c>
    </row>
    <row r="582" spans="1:7" x14ac:dyDescent="0.25">
      <c r="A582" s="23">
        <v>2024</v>
      </c>
      <c r="B582" s="23" t="s">
        <v>192</v>
      </c>
      <c r="C582" s="23" t="s">
        <v>197</v>
      </c>
      <c r="D582" s="23" t="s">
        <v>188</v>
      </c>
      <c r="E582" s="23">
        <v>231</v>
      </c>
      <c r="F582" s="14">
        <v>105</v>
      </c>
      <c r="G582" s="23">
        <v>336</v>
      </c>
    </row>
    <row r="583" spans="1:7" x14ac:dyDescent="0.25">
      <c r="A583" s="23">
        <v>2024</v>
      </c>
      <c r="B583" s="23" t="s">
        <v>192</v>
      </c>
      <c r="C583" s="23" t="s">
        <v>197</v>
      </c>
      <c r="D583" s="23" t="s">
        <v>190</v>
      </c>
      <c r="E583" s="23">
        <v>186</v>
      </c>
      <c r="F583" s="14">
        <v>98</v>
      </c>
      <c r="G583" s="23">
        <v>284</v>
      </c>
    </row>
    <row r="584" spans="1:7" x14ac:dyDescent="0.25">
      <c r="A584" s="23">
        <v>2024</v>
      </c>
      <c r="B584" s="23" t="s">
        <v>192</v>
      </c>
      <c r="C584" s="23" t="s">
        <v>198</v>
      </c>
      <c r="D584" s="23" t="s">
        <v>188</v>
      </c>
      <c r="E584" s="23">
        <v>136</v>
      </c>
      <c r="F584" s="14">
        <v>97</v>
      </c>
      <c r="G584" s="23">
        <v>233</v>
      </c>
    </row>
    <row r="585" spans="1:7" x14ac:dyDescent="0.25">
      <c r="A585" s="23">
        <v>2024</v>
      </c>
      <c r="B585" s="23" t="s">
        <v>192</v>
      </c>
      <c r="C585" s="23" t="s">
        <v>198</v>
      </c>
      <c r="D585" s="23" t="s">
        <v>190</v>
      </c>
      <c r="E585" s="23">
        <v>166</v>
      </c>
      <c r="F585" s="14">
        <v>15</v>
      </c>
      <c r="G585" s="23">
        <v>181</v>
      </c>
    </row>
    <row r="586" spans="1:7" x14ac:dyDescent="0.25">
      <c r="A586" s="23">
        <v>2024</v>
      </c>
      <c r="B586" s="23" t="s">
        <v>192</v>
      </c>
      <c r="C586" s="23" t="s">
        <v>199</v>
      </c>
      <c r="D586" s="23" t="s">
        <v>188</v>
      </c>
      <c r="E586" s="23">
        <v>96</v>
      </c>
      <c r="F586" s="14">
        <v>100</v>
      </c>
      <c r="G586" s="23">
        <v>196</v>
      </c>
    </row>
    <row r="587" spans="1:7" x14ac:dyDescent="0.25">
      <c r="A587" s="23">
        <v>2024</v>
      </c>
      <c r="B587" s="23" t="s">
        <v>192</v>
      </c>
      <c r="C587" s="23" t="s">
        <v>199</v>
      </c>
      <c r="D587" s="23" t="s">
        <v>190</v>
      </c>
      <c r="E587" s="23">
        <v>183</v>
      </c>
      <c r="F587" s="14">
        <v>16</v>
      </c>
      <c r="G587" s="23">
        <v>199</v>
      </c>
    </row>
    <row r="588" spans="1:7" x14ac:dyDescent="0.25">
      <c r="A588" s="23">
        <v>2024</v>
      </c>
      <c r="B588" s="23" t="s">
        <v>192</v>
      </c>
      <c r="C588" s="23" t="s">
        <v>200</v>
      </c>
      <c r="D588" s="23" t="s">
        <v>188</v>
      </c>
      <c r="E588" s="23">
        <v>74</v>
      </c>
      <c r="F588" s="14">
        <v>20</v>
      </c>
      <c r="G588" s="23">
        <v>94</v>
      </c>
    </row>
    <row r="589" spans="1:7" x14ac:dyDescent="0.25">
      <c r="A589" s="23">
        <v>2024</v>
      </c>
      <c r="B589" s="23" t="s">
        <v>192</v>
      </c>
      <c r="C589" s="23" t="s">
        <v>200</v>
      </c>
      <c r="D589" s="23" t="s">
        <v>190</v>
      </c>
      <c r="E589" s="23">
        <v>247</v>
      </c>
      <c r="F589" s="14">
        <v>92</v>
      </c>
      <c r="G589" s="23">
        <v>339</v>
      </c>
    </row>
    <row r="590" spans="1:7" x14ac:dyDescent="0.25">
      <c r="A590" s="23">
        <v>2024</v>
      </c>
      <c r="B590" s="23" t="s">
        <v>192</v>
      </c>
      <c r="C590" s="23" t="s">
        <v>201</v>
      </c>
      <c r="D590" s="23" t="s">
        <v>188</v>
      </c>
      <c r="E590" s="23">
        <v>258</v>
      </c>
      <c r="F590" s="14">
        <v>20</v>
      </c>
      <c r="G590" s="23">
        <v>278</v>
      </c>
    </row>
    <row r="591" spans="1:7" x14ac:dyDescent="0.25">
      <c r="A591" s="23">
        <v>2024</v>
      </c>
      <c r="B591" s="23" t="s">
        <v>192</v>
      </c>
      <c r="C591" s="23" t="s">
        <v>201</v>
      </c>
      <c r="D591" s="23" t="s">
        <v>190</v>
      </c>
      <c r="E591" s="23">
        <v>210</v>
      </c>
      <c r="F591" s="14">
        <v>74</v>
      </c>
      <c r="G591" s="23">
        <v>284</v>
      </c>
    </row>
    <row r="592" spans="1:7" x14ac:dyDescent="0.25">
      <c r="A592" s="23">
        <v>2024</v>
      </c>
      <c r="B592" s="23" t="s">
        <v>192</v>
      </c>
      <c r="C592" s="23" t="s">
        <v>202</v>
      </c>
      <c r="D592" s="23" t="s">
        <v>188</v>
      </c>
      <c r="E592" s="23">
        <v>108</v>
      </c>
      <c r="F592" s="14">
        <v>53</v>
      </c>
      <c r="G592" s="23">
        <v>161</v>
      </c>
    </row>
    <row r="593" spans="1:7" x14ac:dyDescent="0.25">
      <c r="A593" s="23">
        <v>2024</v>
      </c>
      <c r="B593" s="23" t="s">
        <v>192</v>
      </c>
      <c r="C593" s="23" t="s">
        <v>202</v>
      </c>
      <c r="D593" s="23" t="s">
        <v>190</v>
      </c>
      <c r="E593" s="23">
        <v>190</v>
      </c>
      <c r="F593" s="14">
        <v>31</v>
      </c>
      <c r="G593" s="23">
        <v>221</v>
      </c>
    </row>
    <row r="594" spans="1:7" x14ac:dyDescent="0.25">
      <c r="A594" s="23">
        <v>2024</v>
      </c>
      <c r="B594" s="23" t="s">
        <v>196</v>
      </c>
      <c r="C594" s="23" t="s">
        <v>181</v>
      </c>
      <c r="D594" s="23" t="s">
        <v>188</v>
      </c>
      <c r="E594" s="23">
        <v>179</v>
      </c>
      <c r="F594" s="14">
        <v>14</v>
      </c>
      <c r="G594" s="23">
        <v>193</v>
      </c>
    </row>
    <row r="595" spans="1:7" x14ac:dyDescent="0.25">
      <c r="A595" s="23">
        <v>2024</v>
      </c>
      <c r="B595" s="23" t="s">
        <v>196</v>
      </c>
      <c r="C595" s="23" t="s">
        <v>181</v>
      </c>
      <c r="D595" s="23" t="s">
        <v>190</v>
      </c>
      <c r="E595" s="23">
        <v>128</v>
      </c>
      <c r="F595" s="14">
        <v>59</v>
      </c>
      <c r="G595" s="23">
        <v>187</v>
      </c>
    </row>
    <row r="596" spans="1:7" x14ac:dyDescent="0.25">
      <c r="A596" s="23">
        <v>2024</v>
      </c>
      <c r="B596" s="23" t="s">
        <v>196</v>
      </c>
      <c r="C596" s="23" t="s">
        <v>182</v>
      </c>
      <c r="D596" s="23" t="s">
        <v>188</v>
      </c>
      <c r="E596" s="23">
        <v>70</v>
      </c>
      <c r="F596" s="14">
        <v>40</v>
      </c>
      <c r="G596" s="23">
        <v>110</v>
      </c>
    </row>
    <row r="597" spans="1:7" x14ac:dyDescent="0.25">
      <c r="A597" s="23">
        <v>2024</v>
      </c>
      <c r="B597" s="23" t="s">
        <v>196</v>
      </c>
      <c r="C597" s="23" t="s">
        <v>182</v>
      </c>
      <c r="D597" s="23" t="s">
        <v>190</v>
      </c>
      <c r="E597" s="23">
        <v>50</v>
      </c>
      <c r="F597" s="14">
        <v>91</v>
      </c>
      <c r="G597" s="23">
        <v>141</v>
      </c>
    </row>
    <row r="598" spans="1:7" x14ac:dyDescent="0.25">
      <c r="A598" s="23">
        <v>2024</v>
      </c>
      <c r="B598" s="23" t="s">
        <v>196</v>
      </c>
      <c r="C598" s="23" t="s">
        <v>197</v>
      </c>
      <c r="D598" s="23" t="s">
        <v>188</v>
      </c>
      <c r="E598" s="23">
        <v>56</v>
      </c>
      <c r="F598" s="14">
        <v>20</v>
      </c>
      <c r="G598" s="23">
        <v>76</v>
      </c>
    </row>
    <row r="599" spans="1:7" x14ac:dyDescent="0.25">
      <c r="A599" s="23">
        <v>2024</v>
      </c>
      <c r="B599" s="23" t="s">
        <v>196</v>
      </c>
      <c r="C599" s="23" t="s">
        <v>197</v>
      </c>
      <c r="D599" s="23" t="s">
        <v>190</v>
      </c>
      <c r="E599" s="23">
        <v>115</v>
      </c>
      <c r="F599" s="14">
        <v>12</v>
      </c>
      <c r="G599" s="23">
        <v>127</v>
      </c>
    </row>
    <row r="600" spans="1:7" x14ac:dyDescent="0.25">
      <c r="A600" s="23">
        <v>2024</v>
      </c>
      <c r="B600" s="23" t="s">
        <v>196</v>
      </c>
      <c r="C600" s="23" t="s">
        <v>198</v>
      </c>
      <c r="D600" s="23" t="s">
        <v>188</v>
      </c>
      <c r="E600" s="23">
        <v>140</v>
      </c>
      <c r="F600" s="14">
        <v>96</v>
      </c>
      <c r="G600" s="23">
        <v>236</v>
      </c>
    </row>
    <row r="601" spans="1:7" x14ac:dyDescent="0.25">
      <c r="A601" s="23">
        <v>2024</v>
      </c>
      <c r="B601" s="23" t="s">
        <v>196</v>
      </c>
      <c r="C601" s="23" t="s">
        <v>198</v>
      </c>
      <c r="D601" s="23" t="s">
        <v>190</v>
      </c>
      <c r="E601" s="23">
        <v>57</v>
      </c>
      <c r="F601" s="14">
        <v>88</v>
      </c>
      <c r="G601" s="23">
        <v>145</v>
      </c>
    </row>
    <row r="602" spans="1:7" x14ac:dyDescent="0.25">
      <c r="A602" s="23">
        <v>2024</v>
      </c>
      <c r="B602" s="23" t="s">
        <v>196</v>
      </c>
      <c r="C602" s="23" t="s">
        <v>199</v>
      </c>
      <c r="D602" s="23" t="s">
        <v>188</v>
      </c>
      <c r="E602" s="23">
        <v>166</v>
      </c>
      <c r="F602" s="14">
        <v>102</v>
      </c>
      <c r="G602" s="23">
        <v>268</v>
      </c>
    </row>
    <row r="603" spans="1:7" x14ac:dyDescent="0.25">
      <c r="A603" s="23">
        <v>2024</v>
      </c>
      <c r="B603" s="23" t="s">
        <v>196</v>
      </c>
      <c r="C603" s="23" t="s">
        <v>199</v>
      </c>
      <c r="D603" s="23" t="s">
        <v>190</v>
      </c>
      <c r="E603" s="23">
        <v>156</v>
      </c>
      <c r="F603" s="14">
        <v>40</v>
      </c>
      <c r="G603" s="23">
        <v>196</v>
      </c>
    </row>
    <row r="604" spans="1:7" x14ac:dyDescent="0.25">
      <c r="A604" s="23">
        <v>2024</v>
      </c>
      <c r="B604" s="23" t="s">
        <v>196</v>
      </c>
      <c r="C604" s="23" t="s">
        <v>200</v>
      </c>
      <c r="D604" s="23" t="s">
        <v>188</v>
      </c>
      <c r="E604" s="23">
        <v>180</v>
      </c>
      <c r="F604" s="14">
        <v>61</v>
      </c>
      <c r="G604" s="23">
        <v>241</v>
      </c>
    </row>
    <row r="605" spans="1:7" x14ac:dyDescent="0.25">
      <c r="A605" s="23">
        <v>2024</v>
      </c>
      <c r="B605" s="23" t="s">
        <v>196</v>
      </c>
      <c r="C605" s="23" t="s">
        <v>200</v>
      </c>
      <c r="D605" s="23" t="s">
        <v>190</v>
      </c>
      <c r="E605" s="23">
        <v>185</v>
      </c>
      <c r="F605" s="14">
        <v>104</v>
      </c>
      <c r="G605" s="23">
        <v>289</v>
      </c>
    </row>
    <row r="606" spans="1:7" x14ac:dyDescent="0.25">
      <c r="A606" s="23">
        <v>2024</v>
      </c>
      <c r="B606" s="23" t="s">
        <v>196</v>
      </c>
      <c r="C606" s="23" t="s">
        <v>201</v>
      </c>
      <c r="D606" s="23" t="s">
        <v>188</v>
      </c>
      <c r="E606" s="23">
        <v>43</v>
      </c>
      <c r="F606" s="14">
        <v>106</v>
      </c>
      <c r="G606" s="23">
        <v>149</v>
      </c>
    </row>
    <row r="607" spans="1:7" x14ac:dyDescent="0.25">
      <c r="A607" s="23">
        <v>2024</v>
      </c>
      <c r="B607" s="23" t="s">
        <v>196</v>
      </c>
      <c r="C607" s="23" t="s">
        <v>201</v>
      </c>
      <c r="D607" s="23" t="s">
        <v>190</v>
      </c>
      <c r="E607" s="23">
        <v>181</v>
      </c>
      <c r="F607" s="14">
        <v>55</v>
      </c>
      <c r="G607" s="23">
        <v>236</v>
      </c>
    </row>
    <row r="608" spans="1:7" x14ac:dyDescent="0.25">
      <c r="A608" s="23">
        <v>2024</v>
      </c>
      <c r="B608" s="23" t="s">
        <v>196</v>
      </c>
      <c r="C608" s="23" t="s">
        <v>202</v>
      </c>
      <c r="D608" s="23" t="s">
        <v>188</v>
      </c>
      <c r="E608" s="23">
        <v>182</v>
      </c>
      <c r="F608" s="14">
        <v>88</v>
      </c>
      <c r="G608" s="23">
        <v>270</v>
      </c>
    </row>
    <row r="609" spans="1:7" x14ac:dyDescent="0.25">
      <c r="A609" s="23">
        <v>2024</v>
      </c>
      <c r="B609" s="23" t="s">
        <v>196</v>
      </c>
      <c r="C609" s="23" t="s">
        <v>202</v>
      </c>
      <c r="D609" s="23" t="s">
        <v>190</v>
      </c>
      <c r="E609" s="23">
        <v>183</v>
      </c>
      <c r="F609" s="14">
        <v>34</v>
      </c>
      <c r="G609" s="23">
        <v>217</v>
      </c>
    </row>
    <row r="610" spans="1:7" x14ac:dyDescent="0.25">
      <c r="A610" s="23">
        <v>2024</v>
      </c>
      <c r="B610" s="23" t="s">
        <v>194</v>
      </c>
      <c r="C610" s="23" t="s">
        <v>181</v>
      </c>
      <c r="D610" s="23" t="s">
        <v>188</v>
      </c>
      <c r="E610" s="23">
        <v>163</v>
      </c>
      <c r="F610" s="14">
        <v>69</v>
      </c>
      <c r="G610" s="23">
        <v>232</v>
      </c>
    </row>
    <row r="611" spans="1:7" x14ac:dyDescent="0.25">
      <c r="A611" s="23">
        <v>2024</v>
      </c>
      <c r="B611" s="23" t="s">
        <v>194</v>
      </c>
      <c r="C611" s="23" t="s">
        <v>181</v>
      </c>
      <c r="D611" s="23" t="s">
        <v>190</v>
      </c>
      <c r="E611" s="23">
        <v>207</v>
      </c>
      <c r="F611" s="14">
        <v>33</v>
      </c>
      <c r="G611" s="23">
        <v>240</v>
      </c>
    </row>
    <row r="612" spans="1:7" x14ac:dyDescent="0.25">
      <c r="A612" s="23">
        <v>2024</v>
      </c>
      <c r="B612" s="23" t="s">
        <v>194</v>
      </c>
      <c r="C612" s="23" t="s">
        <v>182</v>
      </c>
      <c r="D612" s="23" t="s">
        <v>188</v>
      </c>
      <c r="E612" s="23">
        <v>179</v>
      </c>
      <c r="F612" s="14">
        <v>110</v>
      </c>
      <c r="G612" s="23">
        <v>289</v>
      </c>
    </row>
    <row r="613" spans="1:7" x14ac:dyDescent="0.25">
      <c r="A613" s="23">
        <v>2024</v>
      </c>
      <c r="B613" s="23" t="s">
        <v>194</v>
      </c>
      <c r="C613" s="23" t="s">
        <v>182</v>
      </c>
      <c r="D613" s="23" t="s">
        <v>190</v>
      </c>
      <c r="E613" s="23">
        <v>179</v>
      </c>
      <c r="F613" s="14">
        <v>88</v>
      </c>
      <c r="G613" s="23">
        <v>267</v>
      </c>
    </row>
    <row r="614" spans="1:7" x14ac:dyDescent="0.25">
      <c r="A614" s="23">
        <v>2024</v>
      </c>
      <c r="B614" s="23" t="s">
        <v>194</v>
      </c>
      <c r="C614" s="23" t="s">
        <v>197</v>
      </c>
      <c r="D614" s="23" t="s">
        <v>188</v>
      </c>
      <c r="E614" s="23">
        <v>45</v>
      </c>
      <c r="F614" s="14">
        <v>78</v>
      </c>
      <c r="G614" s="23">
        <v>123</v>
      </c>
    </row>
    <row r="615" spans="1:7" x14ac:dyDescent="0.25">
      <c r="A615" s="23">
        <v>2024</v>
      </c>
      <c r="B615" s="23" t="s">
        <v>194</v>
      </c>
      <c r="C615" s="23" t="s">
        <v>197</v>
      </c>
      <c r="D615" s="23" t="s">
        <v>190</v>
      </c>
      <c r="E615" s="23">
        <v>125</v>
      </c>
      <c r="F615" s="14">
        <v>28</v>
      </c>
      <c r="G615" s="23">
        <v>153</v>
      </c>
    </row>
    <row r="616" spans="1:7" x14ac:dyDescent="0.25">
      <c r="A616" s="23">
        <v>2024</v>
      </c>
      <c r="B616" s="23" t="s">
        <v>194</v>
      </c>
      <c r="C616" s="23" t="s">
        <v>198</v>
      </c>
      <c r="D616" s="23" t="s">
        <v>188</v>
      </c>
      <c r="E616" s="23">
        <v>99</v>
      </c>
      <c r="F616" s="14">
        <v>54</v>
      </c>
      <c r="G616" s="23">
        <v>153</v>
      </c>
    </row>
    <row r="617" spans="1:7" x14ac:dyDescent="0.25">
      <c r="A617" s="23">
        <v>2024</v>
      </c>
      <c r="B617" s="23" t="s">
        <v>194</v>
      </c>
      <c r="C617" s="23" t="s">
        <v>198</v>
      </c>
      <c r="D617" s="23" t="s">
        <v>190</v>
      </c>
      <c r="E617" s="23">
        <v>83</v>
      </c>
      <c r="F617" s="14">
        <v>81</v>
      </c>
      <c r="G617" s="23">
        <v>164</v>
      </c>
    </row>
    <row r="618" spans="1:7" x14ac:dyDescent="0.25">
      <c r="A618" s="23">
        <v>2024</v>
      </c>
      <c r="B618" s="23" t="s">
        <v>194</v>
      </c>
      <c r="C618" s="23" t="s">
        <v>199</v>
      </c>
      <c r="D618" s="23" t="s">
        <v>188</v>
      </c>
      <c r="E618" s="23">
        <v>93</v>
      </c>
      <c r="F618" s="14">
        <v>13</v>
      </c>
      <c r="G618" s="23">
        <v>106</v>
      </c>
    </row>
    <row r="619" spans="1:7" x14ac:dyDescent="0.25">
      <c r="A619" s="23">
        <v>2024</v>
      </c>
      <c r="B619" s="23" t="s">
        <v>194</v>
      </c>
      <c r="C619" s="23" t="s">
        <v>199</v>
      </c>
      <c r="D619" s="23" t="s">
        <v>190</v>
      </c>
      <c r="E619" s="23">
        <v>117</v>
      </c>
      <c r="F619" s="14">
        <v>100</v>
      </c>
      <c r="G619" s="23">
        <v>217</v>
      </c>
    </row>
    <row r="620" spans="1:7" x14ac:dyDescent="0.25">
      <c r="A620" s="23">
        <v>2024</v>
      </c>
      <c r="B620" s="23" t="s">
        <v>194</v>
      </c>
      <c r="C620" s="23" t="s">
        <v>200</v>
      </c>
      <c r="D620" s="23" t="s">
        <v>188</v>
      </c>
      <c r="E620" s="23">
        <v>126</v>
      </c>
      <c r="F620" s="14">
        <v>108</v>
      </c>
      <c r="G620" s="23">
        <v>234</v>
      </c>
    </row>
    <row r="621" spans="1:7" x14ac:dyDescent="0.25">
      <c r="A621" s="23">
        <v>2024</v>
      </c>
      <c r="B621" s="23" t="s">
        <v>194</v>
      </c>
      <c r="C621" s="23" t="s">
        <v>200</v>
      </c>
      <c r="D621" s="23" t="s">
        <v>190</v>
      </c>
      <c r="E621" s="23">
        <v>126</v>
      </c>
      <c r="F621" s="14">
        <v>80</v>
      </c>
      <c r="G621" s="23">
        <v>206</v>
      </c>
    </row>
    <row r="622" spans="1:7" x14ac:dyDescent="0.25">
      <c r="A622" s="23">
        <v>2024</v>
      </c>
      <c r="B622" s="23" t="s">
        <v>194</v>
      </c>
      <c r="C622" s="23" t="s">
        <v>201</v>
      </c>
      <c r="D622" s="23" t="s">
        <v>188</v>
      </c>
      <c r="E622" s="23">
        <v>198</v>
      </c>
      <c r="F622" s="14">
        <v>43</v>
      </c>
      <c r="G622" s="23">
        <v>241</v>
      </c>
    </row>
    <row r="623" spans="1:7" x14ac:dyDescent="0.25">
      <c r="A623" s="23">
        <v>2024</v>
      </c>
      <c r="B623" s="23" t="s">
        <v>194</v>
      </c>
      <c r="C623" s="23" t="s">
        <v>201</v>
      </c>
      <c r="D623" s="23" t="s">
        <v>190</v>
      </c>
      <c r="E623" s="23">
        <v>208</v>
      </c>
      <c r="F623" s="14">
        <v>59</v>
      </c>
      <c r="G623" s="23">
        <v>267</v>
      </c>
    </row>
    <row r="624" spans="1:7" x14ac:dyDescent="0.25">
      <c r="A624" s="23">
        <v>2024</v>
      </c>
      <c r="B624" s="23" t="s">
        <v>194</v>
      </c>
      <c r="C624" s="23" t="s">
        <v>202</v>
      </c>
      <c r="D624" s="23" t="s">
        <v>188</v>
      </c>
      <c r="E624" s="23">
        <v>93</v>
      </c>
      <c r="F624" s="14">
        <v>58</v>
      </c>
      <c r="G624" s="23">
        <v>151</v>
      </c>
    </row>
    <row r="625" spans="1:7" x14ac:dyDescent="0.25">
      <c r="A625" s="23">
        <v>2024</v>
      </c>
      <c r="B625" s="23" t="s">
        <v>194</v>
      </c>
      <c r="C625" s="23" t="s">
        <v>202</v>
      </c>
      <c r="D625" s="23" t="s">
        <v>190</v>
      </c>
      <c r="E625" s="23">
        <v>69</v>
      </c>
      <c r="F625" s="14">
        <v>106</v>
      </c>
      <c r="G625" s="23">
        <v>175</v>
      </c>
    </row>
    <row r="626" spans="1:7" x14ac:dyDescent="0.25">
      <c r="A626" s="23">
        <v>2024</v>
      </c>
      <c r="B626" s="23" t="s">
        <v>195</v>
      </c>
      <c r="C626" s="23" t="s">
        <v>181</v>
      </c>
      <c r="D626" s="23" t="s">
        <v>188</v>
      </c>
      <c r="E626" s="23">
        <v>213</v>
      </c>
      <c r="F626" s="14">
        <v>37</v>
      </c>
      <c r="G626" s="23">
        <v>250</v>
      </c>
    </row>
    <row r="627" spans="1:7" x14ac:dyDescent="0.25">
      <c r="A627" s="23">
        <v>2024</v>
      </c>
      <c r="B627" s="23" t="s">
        <v>195</v>
      </c>
      <c r="C627" s="23" t="s">
        <v>181</v>
      </c>
      <c r="D627" s="23" t="s">
        <v>190</v>
      </c>
      <c r="E627" s="23">
        <v>86</v>
      </c>
      <c r="F627" s="14">
        <v>74</v>
      </c>
      <c r="G627" s="23">
        <v>160</v>
      </c>
    </row>
    <row r="628" spans="1:7" x14ac:dyDescent="0.25">
      <c r="A628" s="23">
        <v>2024</v>
      </c>
      <c r="B628" s="23" t="s">
        <v>195</v>
      </c>
      <c r="C628" s="23" t="s">
        <v>182</v>
      </c>
      <c r="D628" s="23" t="s">
        <v>188</v>
      </c>
      <c r="E628" s="23">
        <v>113</v>
      </c>
      <c r="F628" s="14">
        <v>105</v>
      </c>
      <c r="G628" s="23">
        <v>218</v>
      </c>
    </row>
    <row r="629" spans="1:7" x14ac:dyDescent="0.25">
      <c r="A629" s="23">
        <v>2024</v>
      </c>
      <c r="B629" s="23" t="s">
        <v>195</v>
      </c>
      <c r="C629" s="23" t="s">
        <v>182</v>
      </c>
      <c r="D629" s="23" t="s">
        <v>190</v>
      </c>
      <c r="E629" s="23">
        <v>144</v>
      </c>
      <c r="F629" s="14">
        <v>99</v>
      </c>
      <c r="G629" s="23">
        <v>243</v>
      </c>
    </row>
    <row r="630" spans="1:7" x14ac:dyDescent="0.25">
      <c r="A630" s="23">
        <v>2024</v>
      </c>
      <c r="B630" s="23" t="s">
        <v>195</v>
      </c>
      <c r="C630" s="23" t="s">
        <v>197</v>
      </c>
      <c r="D630" s="23" t="s">
        <v>188</v>
      </c>
      <c r="E630" s="23">
        <v>89</v>
      </c>
      <c r="F630" s="14">
        <v>94</v>
      </c>
      <c r="G630" s="23">
        <v>183</v>
      </c>
    </row>
    <row r="631" spans="1:7" x14ac:dyDescent="0.25">
      <c r="A631" s="23">
        <v>2024</v>
      </c>
      <c r="B631" s="23" t="s">
        <v>195</v>
      </c>
      <c r="C631" s="23" t="s">
        <v>197</v>
      </c>
      <c r="D631" s="23" t="s">
        <v>190</v>
      </c>
      <c r="E631" s="23">
        <v>122</v>
      </c>
      <c r="F631" s="14">
        <v>76</v>
      </c>
      <c r="G631" s="23">
        <v>198</v>
      </c>
    </row>
    <row r="632" spans="1:7" x14ac:dyDescent="0.25">
      <c r="A632" s="23">
        <v>2024</v>
      </c>
      <c r="B632" s="23" t="s">
        <v>195</v>
      </c>
      <c r="C632" s="23" t="s">
        <v>198</v>
      </c>
      <c r="D632" s="23" t="s">
        <v>188</v>
      </c>
      <c r="E632" s="23">
        <v>184</v>
      </c>
      <c r="F632" s="14">
        <v>18</v>
      </c>
      <c r="G632" s="23">
        <v>202</v>
      </c>
    </row>
    <row r="633" spans="1:7" x14ac:dyDescent="0.25">
      <c r="A633" s="23">
        <v>2024</v>
      </c>
      <c r="B633" s="23" t="s">
        <v>195</v>
      </c>
      <c r="C633" s="23" t="s">
        <v>198</v>
      </c>
      <c r="D633" s="23" t="s">
        <v>190</v>
      </c>
      <c r="E633" s="23">
        <v>151</v>
      </c>
      <c r="F633" s="14">
        <v>32</v>
      </c>
      <c r="G633" s="23">
        <v>183</v>
      </c>
    </row>
    <row r="634" spans="1:7" x14ac:dyDescent="0.25">
      <c r="A634" s="23">
        <v>2024</v>
      </c>
      <c r="B634" s="23" t="s">
        <v>195</v>
      </c>
      <c r="C634" s="23" t="s">
        <v>199</v>
      </c>
      <c r="D634" s="23" t="s">
        <v>188</v>
      </c>
      <c r="E634" s="23">
        <v>125</v>
      </c>
      <c r="F634" s="14">
        <v>63</v>
      </c>
      <c r="G634" s="23">
        <v>188</v>
      </c>
    </row>
    <row r="635" spans="1:7" x14ac:dyDescent="0.25">
      <c r="A635" s="23">
        <v>2024</v>
      </c>
      <c r="B635" s="23" t="s">
        <v>195</v>
      </c>
      <c r="C635" s="23" t="s">
        <v>199</v>
      </c>
      <c r="D635" s="23" t="s">
        <v>190</v>
      </c>
      <c r="E635" s="23">
        <v>75</v>
      </c>
      <c r="F635" s="14">
        <v>106</v>
      </c>
      <c r="G635" s="23">
        <v>181</v>
      </c>
    </row>
    <row r="636" spans="1:7" x14ac:dyDescent="0.25">
      <c r="A636" s="23">
        <v>2024</v>
      </c>
      <c r="B636" s="23" t="s">
        <v>195</v>
      </c>
      <c r="C636" s="23" t="s">
        <v>200</v>
      </c>
      <c r="D636" s="23" t="s">
        <v>188</v>
      </c>
      <c r="E636" s="23">
        <v>248</v>
      </c>
      <c r="F636" s="14">
        <v>101</v>
      </c>
      <c r="G636" s="23">
        <v>349</v>
      </c>
    </row>
    <row r="637" spans="1:7" x14ac:dyDescent="0.25">
      <c r="A637" s="23">
        <v>2024</v>
      </c>
      <c r="B637" s="23" t="s">
        <v>195</v>
      </c>
      <c r="C637" s="23" t="s">
        <v>200</v>
      </c>
      <c r="D637" s="23" t="s">
        <v>190</v>
      </c>
      <c r="E637" s="23">
        <v>86</v>
      </c>
      <c r="F637" s="14">
        <v>34</v>
      </c>
      <c r="G637" s="23">
        <v>120</v>
      </c>
    </row>
    <row r="638" spans="1:7" x14ac:dyDescent="0.25">
      <c r="A638" s="23">
        <v>2024</v>
      </c>
      <c r="B638" s="23" t="s">
        <v>195</v>
      </c>
      <c r="C638" s="23" t="s">
        <v>201</v>
      </c>
      <c r="D638" s="23" t="s">
        <v>188</v>
      </c>
      <c r="E638" s="23">
        <v>93</v>
      </c>
      <c r="F638" s="14">
        <v>20</v>
      </c>
      <c r="G638" s="23">
        <v>113</v>
      </c>
    </row>
    <row r="639" spans="1:7" x14ac:dyDescent="0.25">
      <c r="A639" s="23">
        <v>2024</v>
      </c>
      <c r="B639" s="23" t="s">
        <v>195</v>
      </c>
      <c r="C639" s="23" t="s">
        <v>201</v>
      </c>
      <c r="D639" s="23" t="s">
        <v>190</v>
      </c>
      <c r="E639" s="23">
        <v>139</v>
      </c>
      <c r="F639" s="14">
        <v>48</v>
      </c>
      <c r="G639" s="23">
        <v>187</v>
      </c>
    </row>
    <row r="640" spans="1:7" x14ac:dyDescent="0.25">
      <c r="A640" s="23">
        <v>2024</v>
      </c>
      <c r="B640" s="23" t="s">
        <v>195</v>
      </c>
      <c r="C640" s="23" t="s">
        <v>202</v>
      </c>
      <c r="D640" s="23" t="s">
        <v>188</v>
      </c>
      <c r="E640" s="23">
        <v>181</v>
      </c>
      <c r="F640" s="14">
        <v>14</v>
      </c>
      <c r="G640" s="23">
        <v>195</v>
      </c>
    </row>
    <row r="641" spans="1:7" x14ac:dyDescent="0.25">
      <c r="A641" s="23">
        <v>2024</v>
      </c>
      <c r="B641" s="23" t="s">
        <v>195</v>
      </c>
      <c r="C641" s="23" t="s">
        <v>202</v>
      </c>
      <c r="D641" s="23" t="s">
        <v>190</v>
      </c>
      <c r="E641" s="23">
        <v>119</v>
      </c>
      <c r="F641" s="14">
        <v>30</v>
      </c>
      <c r="G641" s="23">
        <v>149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DEC44-CF8A-4D05-ACB0-BA93A1F42177}">
  <sheetPr codeName="Sheet8"/>
  <dimension ref="A3:B9"/>
  <sheetViews>
    <sheetView workbookViewId="0">
      <selection activeCell="O19" sqref="O19"/>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v>2020</v>
      </c>
      <c r="B4">
        <v>26881</v>
      </c>
    </row>
    <row r="5" spans="1:2" x14ac:dyDescent="0.25">
      <c r="A5" s="11">
        <v>2021</v>
      </c>
      <c r="B5">
        <v>27946</v>
      </c>
    </row>
    <row r="6" spans="1:2" x14ac:dyDescent="0.25">
      <c r="A6" s="11">
        <v>2022</v>
      </c>
      <c r="B6">
        <v>27662</v>
      </c>
    </row>
    <row r="7" spans="1:2" x14ac:dyDescent="0.25">
      <c r="A7" s="11">
        <v>2023</v>
      </c>
      <c r="B7">
        <v>27355</v>
      </c>
    </row>
    <row r="8" spans="1:2" x14ac:dyDescent="0.25">
      <c r="A8" s="11">
        <v>2024</v>
      </c>
      <c r="B8">
        <v>25456</v>
      </c>
    </row>
    <row r="9" spans="1:2" x14ac:dyDescent="0.25">
      <c r="A9" s="11" t="s">
        <v>20</v>
      </c>
      <c r="B9">
        <v>135300</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64B693-6282-4726-8D0E-BFFEC3FB2294}">
  <sheetPr codeName="Sheet9"/>
  <dimension ref="A3:C9"/>
  <sheetViews>
    <sheetView workbookViewId="0">
      <selection activeCell="I20" sqref="I20"/>
    </sheetView>
  </sheetViews>
  <sheetFormatPr defaultRowHeight="15" x14ac:dyDescent="0.25"/>
  <cols>
    <col min="1" max="1" width="13.42578125" bestFit="1" customWidth="1"/>
    <col min="2" max="2" width="24.140625" bestFit="1" customWidth="1"/>
    <col min="3" max="3" width="20.28515625" bestFit="1" customWidth="1"/>
  </cols>
  <sheetData>
    <row r="3" spans="1:3" x14ac:dyDescent="0.25">
      <c r="A3" s="10" t="s">
        <v>19</v>
      </c>
      <c r="B3" t="s">
        <v>203</v>
      </c>
      <c r="C3" t="s">
        <v>204</v>
      </c>
    </row>
    <row r="4" spans="1:3" x14ac:dyDescent="0.25">
      <c r="A4" s="11">
        <v>2020</v>
      </c>
      <c r="B4">
        <v>26881</v>
      </c>
      <c r="C4">
        <v>19472</v>
      </c>
    </row>
    <row r="5" spans="1:3" x14ac:dyDescent="0.25">
      <c r="A5" s="11">
        <v>2021</v>
      </c>
      <c r="B5">
        <v>27946</v>
      </c>
      <c r="C5">
        <v>19727</v>
      </c>
    </row>
    <row r="6" spans="1:3" x14ac:dyDescent="0.25">
      <c r="A6" s="11">
        <v>2022</v>
      </c>
      <c r="B6">
        <v>27662</v>
      </c>
      <c r="C6">
        <v>19976</v>
      </c>
    </row>
    <row r="7" spans="1:3" x14ac:dyDescent="0.25">
      <c r="A7" s="11">
        <v>2023</v>
      </c>
      <c r="B7">
        <v>27355</v>
      </c>
      <c r="C7">
        <v>19770</v>
      </c>
    </row>
    <row r="8" spans="1:3" x14ac:dyDescent="0.25">
      <c r="A8" s="11">
        <v>2024</v>
      </c>
      <c r="B8">
        <v>25456</v>
      </c>
      <c r="C8">
        <v>17667</v>
      </c>
    </row>
    <row r="9" spans="1:3" x14ac:dyDescent="0.25">
      <c r="A9" s="11" t="s">
        <v>20</v>
      </c>
      <c r="B9">
        <v>135300</v>
      </c>
      <c r="C9">
        <v>96612</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EB167-AD33-436B-950E-365A272EDD3E}">
  <sheetPr codeName="Sheet10"/>
  <dimension ref="A3:B12"/>
  <sheetViews>
    <sheetView workbookViewId="0">
      <selection activeCell="O17" sqref="O17"/>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t="s">
        <v>194</v>
      </c>
      <c r="B4">
        <v>17426</v>
      </c>
    </row>
    <row r="5" spans="1:2" x14ac:dyDescent="0.25">
      <c r="A5" s="11" t="s">
        <v>193</v>
      </c>
      <c r="B5">
        <v>17261</v>
      </c>
    </row>
    <row r="6" spans="1:2" x14ac:dyDescent="0.25">
      <c r="A6" s="11" t="s">
        <v>192</v>
      </c>
      <c r="B6">
        <v>17101</v>
      </c>
    </row>
    <row r="7" spans="1:2" x14ac:dyDescent="0.25">
      <c r="A7" s="11" t="s">
        <v>189</v>
      </c>
      <c r="B7">
        <v>16801</v>
      </c>
    </row>
    <row r="8" spans="1:2" x14ac:dyDescent="0.25">
      <c r="A8" s="11" t="s">
        <v>195</v>
      </c>
      <c r="B8">
        <v>16774</v>
      </c>
    </row>
    <row r="9" spans="1:2" x14ac:dyDescent="0.25">
      <c r="A9" s="11" t="s">
        <v>187</v>
      </c>
      <c r="B9">
        <v>16704</v>
      </c>
    </row>
    <row r="10" spans="1:2" x14ac:dyDescent="0.25">
      <c r="A10" s="11" t="s">
        <v>191</v>
      </c>
      <c r="B10">
        <v>16682</v>
      </c>
    </row>
    <row r="11" spans="1:2" x14ac:dyDescent="0.25">
      <c r="A11" s="11" t="s">
        <v>196</v>
      </c>
      <c r="B11">
        <v>16551</v>
      </c>
    </row>
    <row r="12" spans="1:2" x14ac:dyDescent="0.25">
      <c r="A12" s="11" t="s">
        <v>20</v>
      </c>
      <c r="B12">
        <v>135300</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01D28-6476-4596-B7DB-6D68DB778401}">
  <sheetPr codeName="Sheet12"/>
  <dimension ref="A3:B12"/>
  <sheetViews>
    <sheetView workbookViewId="0">
      <selection activeCell="P17" sqref="P17"/>
    </sheetView>
  </sheetViews>
  <sheetFormatPr defaultRowHeight="15" x14ac:dyDescent="0.25"/>
  <cols>
    <col min="1" max="1" width="18" bestFit="1" customWidth="1"/>
    <col min="2" max="2" width="24.140625" bestFit="1" customWidth="1"/>
  </cols>
  <sheetData>
    <row r="3" spans="1:2" x14ac:dyDescent="0.25">
      <c r="A3" s="10" t="s">
        <v>19</v>
      </c>
      <c r="B3" t="s">
        <v>203</v>
      </c>
    </row>
    <row r="4" spans="1:2" x14ac:dyDescent="0.25">
      <c r="A4" s="11" t="s">
        <v>182</v>
      </c>
      <c r="B4">
        <v>17601</v>
      </c>
    </row>
    <row r="5" spans="1:2" x14ac:dyDescent="0.25">
      <c r="A5" s="11" t="s">
        <v>198</v>
      </c>
      <c r="B5">
        <v>17499</v>
      </c>
    </row>
    <row r="6" spans="1:2" x14ac:dyDescent="0.25">
      <c r="A6" s="11" t="s">
        <v>201</v>
      </c>
      <c r="B6">
        <v>17357</v>
      </c>
    </row>
    <row r="7" spans="1:2" x14ac:dyDescent="0.25">
      <c r="A7" s="11" t="s">
        <v>202</v>
      </c>
      <c r="B7">
        <v>17091</v>
      </c>
    </row>
    <row r="8" spans="1:2" x14ac:dyDescent="0.25">
      <c r="A8" s="11" t="s">
        <v>199</v>
      </c>
      <c r="B8">
        <v>16830</v>
      </c>
    </row>
    <row r="9" spans="1:2" x14ac:dyDescent="0.25">
      <c r="A9" s="11" t="s">
        <v>200</v>
      </c>
      <c r="B9">
        <v>16742</v>
      </c>
    </row>
    <row r="10" spans="1:2" x14ac:dyDescent="0.25">
      <c r="A10" s="11" t="s">
        <v>181</v>
      </c>
      <c r="B10">
        <v>16683</v>
      </c>
    </row>
    <row r="11" spans="1:2" x14ac:dyDescent="0.25">
      <c r="A11" s="11" t="s">
        <v>197</v>
      </c>
      <c r="B11">
        <v>15497</v>
      </c>
    </row>
    <row r="12" spans="1:2" x14ac:dyDescent="0.25">
      <c r="A12" s="11" t="s">
        <v>20</v>
      </c>
      <c r="B12">
        <v>135300</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2D974-8B8B-41BB-A3F9-296D60956DA2}">
  <sheetPr codeName="Sheet13"/>
  <dimension ref="A3:B49"/>
  <sheetViews>
    <sheetView workbookViewId="0">
      <selection activeCell="J22" sqref="J22"/>
    </sheetView>
  </sheetViews>
  <sheetFormatPr defaultRowHeight="15" x14ac:dyDescent="0.25"/>
  <cols>
    <col min="1" max="1" width="16" bestFit="1" customWidth="1"/>
    <col min="2" max="2" width="24.140625" bestFit="1" customWidth="1"/>
    <col min="3" max="3" width="22.140625" bestFit="1" customWidth="1"/>
  </cols>
  <sheetData>
    <row r="3" spans="1:2" x14ac:dyDescent="0.25">
      <c r="A3" s="10" t="s">
        <v>19</v>
      </c>
      <c r="B3" t="s">
        <v>203</v>
      </c>
    </row>
    <row r="4" spans="1:2" x14ac:dyDescent="0.25">
      <c r="A4" s="11">
        <v>2020</v>
      </c>
      <c r="B4">
        <v>26881</v>
      </c>
    </row>
    <row r="5" spans="1:2" x14ac:dyDescent="0.25">
      <c r="A5" s="12" t="s">
        <v>196</v>
      </c>
      <c r="B5">
        <v>3640</v>
      </c>
    </row>
    <row r="6" spans="1:2" x14ac:dyDescent="0.25">
      <c r="A6" s="12" t="s">
        <v>191</v>
      </c>
      <c r="B6">
        <v>3465</v>
      </c>
    </row>
    <row r="7" spans="1:2" x14ac:dyDescent="0.25">
      <c r="A7" s="12" t="s">
        <v>193</v>
      </c>
      <c r="B7">
        <v>3416</v>
      </c>
    </row>
    <row r="8" spans="1:2" x14ac:dyDescent="0.25">
      <c r="A8" s="12" t="s">
        <v>187</v>
      </c>
      <c r="B8">
        <v>3367</v>
      </c>
    </row>
    <row r="9" spans="1:2" x14ac:dyDescent="0.25">
      <c r="A9" s="12" t="s">
        <v>195</v>
      </c>
      <c r="B9">
        <v>3259</v>
      </c>
    </row>
    <row r="10" spans="1:2" x14ac:dyDescent="0.25">
      <c r="A10" s="12" t="s">
        <v>192</v>
      </c>
      <c r="B10">
        <v>3251</v>
      </c>
    </row>
    <row r="11" spans="1:2" x14ac:dyDescent="0.25">
      <c r="A11" s="12" t="s">
        <v>194</v>
      </c>
      <c r="B11">
        <v>3247</v>
      </c>
    </row>
    <row r="12" spans="1:2" x14ac:dyDescent="0.25">
      <c r="A12" s="12" t="s">
        <v>189</v>
      </c>
      <c r="B12">
        <v>3236</v>
      </c>
    </row>
    <row r="13" spans="1:2" x14ac:dyDescent="0.25">
      <c r="A13" s="11">
        <v>2021</v>
      </c>
      <c r="B13">
        <v>27946</v>
      </c>
    </row>
    <row r="14" spans="1:2" x14ac:dyDescent="0.25">
      <c r="A14" s="12" t="s">
        <v>193</v>
      </c>
      <c r="B14">
        <v>3765</v>
      </c>
    </row>
    <row r="15" spans="1:2" x14ac:dyDescent="0.25">
      <c r="A15" s="12" t="s">
        <v>194</v>
      </c>
      <c r="B15">
        <v>3752</v>
      </c>
    </row>
    <row r="16" spans="1:2" x14ac:dyDescent="0.25">
      <c r="A16" s="12" t="s">
        <v>195</v>
      </c>
      <c r="B16">
        <v>3604</v>
      </c>
    </row>
    <row r="17" spans="1:2" x14ac:dyDescent="0.25">
      <c r="A17" s="12" t="s">
        <v>189</v>
      </c>
      <c r="B17">
        <v>3571</v>
      </c>
    </row>
    <row r="18" spans="1:2" x14ac:dyDescent="0.25">
      <c r="A18" s="12" t="s">
        <v>187</v>
      </c>
      <c r="B18">
        <v>3390</v>
      </c>
    </row>
    <row r="19" spans="1:2" x14ac:dyDescent="0.25">
      <c r="A19" s="12" t="s">
        <v>196</v>
      </c>
      <c r="B19">
        <v>3367</v>
      </c>
    </row>
    <row r="20" spans="1:2" x14ac:dyDescent="0.25">
      <c r="A20" s="12" t="s">
        <v>192</v>
      </c>
      <c r="B20">
        <v>3321</v>
      </c>
    </row>
    <row r="21" spans="1:2" x14ac:dyDescent="0.25">
      <c r="A21" s="12" t="s">
        <v>191</v>
      </c>
      <c r="B21">
        <v>3176</v>
      </c>
    </row>
    <row r="22" spans="1:2" x14ac:dyDescent="0.25">
      <c r="A22" s="11">
        <v>2022</v>
      </c>
      <c r="B22">
        <v>27662</v>
      </c>
    </row>
    <row r="23" spans="1:2" x14ac:dyDescent="0.25">
      <c r="A23" s="12" t="s">
        <v>194</v>
      </c>
      <c r="B23">
        <v>3985</v>
      </c>
    </row>
    <row r="24" spans="1:2" x14ac:dyDescent="0.25">
      <c r="A24" s="12" t="s">
        <v>187</v>
      </c>
      <c r="B24">
        <v>3612</v>
      </c>
    </row>
    <row r="25" spans="1:2" x14ac:dyDescent="0.25">
      <c r="A25" s="12" t="s">
        <v>193</v>
      </c>
      <c r="B25">
        <v>3484</v>
      </c>
    </row>
    <row r="26" spans="1:2" x14ac:dyDescent="0.25">
      <c r="A26" s="12" t="s">
        <v>196</v>
      </c>
      <c r="B26">
        <v>3414</v>
      </c>
    </row>
    <row r="27" spans="1:2" x14ac:dyDescent="0.25">
      <c r="A27" s="12" t="s">
        <v>189</v>
      </c>
      <c r="B27">
        <v>3380</v>
      </c>
    </row>
    <row r="28" spans="1:2" x14ac:dyDescent="0.25">
      <c r="A28" s="12" t="s">
        <v>192</v>
      </c>
      <c r="B28">
        <v>3337</v>
      </c>
    </row>
    <row r="29" spans="1:2" x14ac:dyDescent="0.25">
      <c r="A29" s="12" t="s">
        <v>195</v>
      </c>
      <c r="B29">
        <v>3276</v>
      </c>
    </row>
    <row r="30" spans="1:2" x14ac:dyDescent="0.25">
      <c r="A30" s="12" t="s">
        <v>191</v>
      </c>
      <c r="B30">
        <v>3174</v>
      </c>
    </row>
    <row r="31" spans="1:2" x14ac:dyDescent="0.25">
      <c r="A31" s="11">
        <v>2023</v>
      </c>
      <c r="B31">
        <v>27355</v>
      </c>
    </row>
    <row r="32" spans="1:2" x14ac:dyDescent="0.25">
      <c r="A32" s="12" t="s">
        <v>191</v>
      </c>
      <c r="B32">
        <v>3764</v>
      </c>
    </row>
    <row r="33" spans="1:2" x14ac:dyDescent="0.25">
      <c r="A33" s="12" t="s">
        <v>193</v>
      </c>
      <c r="B33">
        <v>3549</v>
      </c>
    </row>
    <row r="34" spans="1:2" x14ac:dyDescent="0.25">
      <c r="A34" s="12" t="s">
        <v>192</v>
      </c>
      <c r="B34">
        <v>3542</v>
      </c>
    </row>
    <row r="35" spans="1:2" x14ac:dyDescent="0.25">
      <c r="A35" s="12" t="s">
        <v>195</v>
      </c>
      <c r="B35">
        <v>3516</v>
      </c>
    </row>
    <row r="36" spans="1:2" x14ac:dyDescent="0.25">
      <c r="A36" s="12" t="s">
        <v>189</v>
      </c>
      <c r="B36">
        <v>3479</v>
      </c>
    </row>
    <row r="37" spans="1:2" x14ac:dyDescent="0.25">
      <c r="A37" s="12" t="s">
        <v>187</v>
      </c>
      <c r="B37">
        <v>3232</v>
      </c>
    </row>
    <row r="38" spans="1:2" x14ac:dyDescent="0.25">
      <c r="A38" s="12" t="s">
        <v>194</v>
      </c>
      <c r="B38">
        <v>3224</v>
      </c>
    </row>
    <row r="39" spans="1:2" x14ac:dyDescent="0.25">
      <c r="A39" s="12" t="s">
        <v>196</v>
      </c>
      <c r="B39">
        <v>3049</v>
      </c>
    </row>
    <row r="40" spans="1:2" x14ac:dyDescent="0.25">
      <c r="A40" s="11">
        <v>2024</v>
      </c>
      <c r="B40">
        <v>25456</v>
      </c>
    </row>
    <row r="41" spans="1:2" x14ac:dyDescent="0.25">
      <c r="A41" s="12" t="s">
        <v>192</v>
      </c>
      <c r="B41">
        <v>3650</v>
      </c>
    </row>
    <row r="42" spans="1:2" x14ac:dyDescent="0.25">
      <c r="A42" s="12" t="s">
        <v>194</v>
      </c>
      <c r="B42">
        <v>3218</v>
      </c>
    </row>
    <row r="43" spans="1:2" x14ac:dyDescent="0.25">
      <c r="A43" s="12" t="s">
        <v>189</v>
      </c>
      <c r="B43">
        <v>3135</v>
      </c>
    </row>
    <row r="44" spans="1:2" x14ac:dyDescent="0.25">
      <c r="A44" s="12" t="s">
        <v>195</v>
      </c>
      <c r="B44">
        <v>3119</v>
      </c>
    </row>
    <row r="45" spans="1:2" x14ac:dyDescent="0.25">
      <c r="A45" s="12" t="s">
        <v>187</v>
      </c>
      <c r="B45">
        <v>3103</v>
      </c>
    </row>
    <row r="46" spans="1:2" x14ac:dyDescent="0.25">
      <c r="A46" s="12" t="s">
        <v>191</v>
      </c>
      <c r="B46">
        <v>3103</v>
      </c>
    </row>
    <row r="47" spans="1:2" x14ac:dyDescent="0.25">
      <c r="A47" s="12" t="s">
        <v>196</v>
      </c>
      <c r="B47">
        <v>3081</v>
      </c>
    </row>
    <row r="48" spans="1:2" x14ac:dyDescent="0.25">
      <c r="A48" s="12" t="s">
        <v>193</v>
      </c>
      <c r="B48">
        <v>3047</v>
      </c>
    </row>
    <row r="49" spans="1:2" x14ac:dyDescent="0.25">
      <c r="A49" s="11" t="s">
        <v>20</v>
      </c>
      <c r="B49">
        <v>135300</v>
      </c>
    </row>
  </sheetData>
  <pageMargins left="0.7" right="0.7" top="0.75" bottom="0.75" header="0.3" footer="0.3"/>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56E012-3BB7-49A5-8DF9-ECA9A0E47F68}">
  <sheetPr codeName="Sheet14"/>
  <dimension ref="A3:J10"/>
  <sheetViews>
    <sheetView workbookViewId="0">
      <selection activeCell="Y12" sqref="Y12"/>
    </sheetView>
  </sheetViews>
  <sheetFormatPr defaultRowHeight="15" x14ac:dyDescent="0.25"/>
  <cols>
    <col min="1" max="1" width="24.140625" bestFit="1" customWidth="1"/>
    <col min="2" max="2" width="14.5703125" style="35" bestFit="1" customWidth="1"/>
    <col min="3" max="3" width="11.5703125" bestFit="1" customWidth="1"/>
    <col min="4" max="4" width="6.5703125" bestFit="1" customWidth="1"/>
    <col min="5" max="5" width="7.140625" bestFit="1" customWidth="1"/>
    <col min="6" max="6" width="12.42578125" bestFit="1" customWidth="1"/>
    <col min="7" max="7" width="8.7109375" bestFit="1" customWidth="1"/>
    <col min="8" max="8" width="8.42578125" bestFit="1" customWidth="1"/>
    <col min="9" max="9" width="6.7109375" bestFit="1" customWidth="1"/>
    <col min="10" max="10" width="11.28515625" bestFit="1" customWidth="1"/>
  </cols>
  <sheetData>
    <row r="3" spans="1:10" x14ac:dyDescent="0.25">
      <c r="A3" s="10" t="s">
        <v>203</v>
      </c>
      <c r="B3" s="34" t="s">
        <v>205</v>
      </c>
    </row>
    <row r="4" spans="1:10" x14ac:dyDescent="0.25">
      <c r="A4" s="10" t="s">
        <v>19</v>
      </c>
      <c r="B4" s="35" t="s">
        <v>192</v>
      </c>
      <c r="C4" t="s">
        <v>189</v>
      </c>
      <c r="D4" t="s">
        <v>187</v>
      </c>
      <c r="E4" t="s">
        <v>191</v>
      </c>
      <c r="F4" t="s">
        <v>195</v>
      </c>
      <c r="G4" t="s">
        <v>193</v>
      </c>
      <c r="H4" t="s">
        <v>194</v>
      </c>
      <c r="I4" t="s">
        <v>196</v>
      </c>
      <c r="J4" t="s">
        <v>20</v>
      </c>
    </row>
    <row r="5" spans="1:10" x14ac:dyDescent="0.25">
      <c r="A5" s="11">
        <v>2020</v>
      </c>
      <c r="B5" s="35">
        <v>3251</v>
      </c>
      <c r="C5">
        <v>3236</v>
      </c>
      <c r="D5">
        <v>3367</v>
      </c>
      <c r="E5">
        <v>3465</v>
      </c>
      <c r="F5">
        <v>3259</v>
      </c>
      <c r="G5">
        <v>3416</v>
      </c>
      <c r="H5">
        <v>3247</v>
      </c>
      <c r="I5">
        <v>3640</v>
      </c>
      <c r="J5">
        <v>26881</v>
      </c>
    </row>
    <row r="6" spans="1:10" x14ac:dyDescent="0.25">
      <c r="A6" s="11">
        <v>2021</v>
      </c>
      <c r="B6" s="35">
        <v>3321</v>
      </c>
      <c r="C6">
        <v>3571</v>
      </c>
      <c r="D6">
        <v>3390</v>
      </c>
      <c r="E6">
        <v>3176</v>
      </c>
      <c r="F6">
        <v>3604</v>
      </c>
      <c r="G6">
        <v>3765</v>
      </c>
      <c r="H6">
        <v>3752</v>
      </c>
      <c r="I6">
        <v>3367</v>
      </c>
      <c r="J6">
        <v>27946</v>
      </c>
    </row>
    <row r="7" spans="1:10" x14ac:dyDescent="0.25">
      <c r="A7" s="11">
        <v>2022</v>
      </c>
      <c r="B7" s="35">
        <v>3337</v>
      </c>
      <c r="C7">
        <v>3380</v>
      </c>
      <c r="D7">
        <v>3612</v>
      </c>
      <c r="E7">
        <v>3174</v>
      </c>
      <c r="F7">
        <v>3276</v>
      </c>
      <c r="G7">
        <v>3484</v>
      </c>
      <c r="H7">
        <v>3985</v>
      </c>
      <c r="I7">
        <v>3414</v>
      </c>
      <c r="J7">
        <v>27662</v>
      </c>
    </row>
    <row r="8" spans="1:10" x14ac:dyDescent="0.25">
      <c r="A8" s="11">
        <v>2023</v>
      </c>
      <c r="B8" s="35">
        <v>3542</v>
      </c>
      <c r="C8">
        <v>3479</v>
      </c>
      <c r="D8">
        <v>3232</v>
      </c>
      <c r="E8">
        <v>3764</v>
      </c>
      <c r="F8">
        <v>3516</v>
      </c>
      <c r="G8">
        <v>3549</v>
      </c>
      <c r="H8">
        <v>3224</v>
      </c>
      <c r="I8">
        <v>3049</v>
      </c>
      <c r="J8">
        <v>27355</v>
      </c>
    </row>
    <row r="9" spans="1:10" x14ac:dyDescent="0.25">
      <c r="A9" s="11">
        <v>2024</v>
      </c>
      <c r="B9" s="35">
        <v>3650</v>
      </c>
      <c r="C9">
        <v>3135</v>
      </c>
      <c r="D9">
        <v>3103</v>
      </c>
      <c r="E9">
        <v>3103</v>
      </c>
      <c r="F9">
        <v>3119</v>
      </c>
      <c r="G9">
        <v>3047</v>
      </c>
      <c r="H9">
        <v>3218</v>
      </c>
      <c r="I9">
        <v>3081</v>
      </c>
      <c r="J9">
        <v>25456</v>
      </c>
    </row>
    <row r="10" spans="1:10" x14ac:dyDescent="0.25">
      <c r="A10" s="11" t="s">
        <v>20</v>
      </c>
      <c r="B10" s="35">
        <v>17101</v>
      </c>
      <c r="C10">
        <v>16801</v>
      </c>
      <c r="D10">
        <v>16704</v>
      </c>
      <c r="E10">
        <v>16682</v>
      </c>
      <c r="F10">
        <v>16774</v>
      </c>
      <c r="G10">
        <v>17261</v>
      </c>
      <c r="H10">
        <v>17426</v>
      </c>
      <c r="I10">
        <v>16551</v>
      </c>
      <c r="J10">
        <v>135300</v>
      </c>
    </row>
  </sheetData>
  <pageMargins left="0.7" right="0.7" top="0.75" bottom="0.75" header="0.3" footer="0.3"/>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7853F7-7CAC-4198-B494-3CE54258E144}">
  <sheetPr codeName="Sheet15"/>
  <dimension ref="A3:B6"/>
  <sheetViews>
    <sheetView workbookViewId="0">
      <selection activeCell="R9" sqref="R9"/>
    </sheetView>
  </sheetViews>
  <sheetFormatPr defaultRowHeight="15" x14ac:dyDescent="0.25"/>
  <cols>
    <col min="1" max="1" width="13.42578125" bestFit="1" customWidth="1"/>
    <col min="2" max="2" width="24.140625" bestFit="1" customWidth="1"/>
  </cols>
  <sheetData>
    <row r="3" spans="1:2" x14ac:dyDescent="0.25">
      <c r="A3" s="10" t="s">
        <v>19</v>
      </c>
      <c r="B3" t="s">
        <v>203</v>
      </c>
    </row>
    <row r="4" spans="1:2" x14ac:dyDescent="0.25">
      <c r="A4" s="11" t="s">
        <v>190</v>
      </c>
      <c r="B4">
        <v>68689</v>
      </c>
    </row>
    <row r="5" spans="1:2" x14ac:dyDescent="0.25">
      <c r="A5" s="11" t="s">
        <v>188</v>
      </c>
      <c r="B5">
        <v>66611</v>
      </c>
    </row>
    <row r="6" spans="1:2" x14ac:dyDescent="0.25">
      <c r="A6" s="11" t="s">
        <v>20</v>
      </c>
      <c r="B6">
        <v>135300</v>
      </c>
    </row>
  </sheetData>
  <pageMargins left="0.7" right="0.7" top="0.75" bottom="0.75" header="0.3" footer="0.3"/>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C3AE7-DF02-4703-96F8-1B2304276025}">
  <sheetPr codeName="Sheet16"/>
  <dimension ref="A3:B9"/>
  <sheetViews>
    <sheetView workbookViewId="0">
      <selection activeCell="N15" sqref="N15"/>
    </sheetView>
  </sheetViews>
  <sheetFormatPr defaultRowHeight="15" x14ac:dyDescent="0.25"/>
  <cols>
    <col min="1" max="1" width="13.42578125" bestFit="1" customWidth="1"/>
    <col min="2" max="2" width="21" bestFit="1" customWidth="1"/>
  </cols>
  <sheetData>
    <row r="3" spans="1:2" x14ac:dyDescent="0.25">
      <c r="A3" s="10" t="s">
        <v>19</v>
      </c>
      <c r="B3" t="s">
        <v>206</v>
      </c>
    </row>
    <row r="4" spans="1:2" x14ac:dyDescent="0.25">
      <c r="A4" s="11">
        <v>2020</v>
      </c>
      <c r="B4">
        <v>7409</v>
      </c>
    </row>
    <row r="5" spans="1:2" x14ac:dyDescent="0.25">
      <c r="A5" s="11">
        <v>2021</v>
      </c>
      <c r="B5">
        <v>8219</v>
      </c>
    </row>
    <row r="6" spans="1:2" x14ac:dyDescent="0.25">
      <c r="A6" s="11">
        <v>2022</v>
      </c>
      <c r="B6">
        <v>7686</v>
      </c>
    </row>
    <row r="7" spans="1:2" x14ac:dyDescent="0.25">
      <c r="A7" s="11">
        <v>2023</v>
      </c>
      <c r="B7">
        <v>7585</v>
      </c>
    </row>
    <row r="8" spans="1:2" x14ac:dyDescent="0.25">
      <c r="A8" s="11">
        <v>2024</v>
      </c>
      <c r="B8">
        <v>7789</v>
      </c>
    </row>
    <row r="9" spans="1:2" x14ac:dyDescent="0.25">
      <c r="A9" s="11" t="s">
        <v>20</v>
      </c>
      <c r="B9">
        <v>38688</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86338-E93E-4D5C-9716-4148B2C56075}">
  <sheetPr codeName="Sheet17"/>
  <dimension ref="A3:G12"/>
  <sheetViews>
    <sheetView workbookViewId="0">
      <selection activeCell="S18" sqref="S18"/>
    </sheetView>
  </sheetViews>
  <sheetFormatPr defaultRowHeight="15" x14ac:dyDescent="0.25"/>
  <cols>
    <col min="1" max="1" width="13.42578125" bestFit="1" customWidth="1"/>
    <col min="2" max="2" width="21" bestFit="1" customWidth="1"/>
    <col min="6" max="6" width="12.140625" bestFit="1" customWidth="1"/>
  </cols>
  <sheetData>
    <row r="3" spans="1:7" x14ac:dyDescent="0.25">
      <c r="A3" s="10" t="s">
        <v>19</v>
      </c>
      <c r="B3" t="s">
        <v>206</v>
      </c>
      <c r="F3" s="11" t="s">
        <v>192</v>
      </c>
      <c r="G3">
        <v>4513</v>
      </c>
    </row>
    <row r="4" spans="1:7" x14ac:dyDescent="0.25">
      <c r="A4" s="11" t="s">
        <v>192</v>
      </c>
      <c r="B4">
        <v>4513</v>
      </c>
      <c r="F4" s="11" t="s">
        <v>189</v>
      </c>
      <c r="G4">
        <v>5003</v>
      </c>
    </row>
    <row r="5" spans="1:7" x14ac:dyDescent="0.25">
      <c r="A5" s="11" t="s">
        <v>189</v>
      </c>
      <c r="B5">
        <v>5003</v>
      </c>
      <c r="F5" s="11" t="s">
        <v>187</v>
      </c>
      <c r="G5">
        <v>5223</v>
      </c>
    </row>
    <row r="6" spans="1:7" x14ac:dyDescent="0.25">
      <c r="A6" s="11" t="s">
        <v>187</v>
      </c>
      <c r="B6">
        <v>5223</v>
      </c>
      <c r="F6" s="11" t="s">
        <v>191</v>
      </c>
      <c r="G6">
        <v>4882</v>
      </c>
    </row>
    <row r="7" spans="1:7" x14ac:dyDescent="0.25">
      <c r="A7" s="11" t="s">
        <v>191</v>
      </c>
      <c r="B7">
        <v>4882</v>
      </c>
      <c r="F7" s="11" t="s">
        <v>195</v>
      </c>
      <c r="G7">
        <v>4694</v>
      </c>
    </row>
    <row r="8" spans="1:7" x14ac:dyDescent="0.25">
      <c r="A8" s="11" t="s">
        <v>195</v>
      </c>
      <c r="B8">
        <v>4694</v>
      </c>
      <c r="F8" s="11" t="s">
        <v>193</v>
      </c>
      <c r="G8">
        <v>4652</v>
      </c>
    </row>
    <row r="9" spans="1:7" x14ac:dyDescent="0.25">
      <c r="A9" s="11" t="s">
        <v>193</v>
      </c>
      <c r="B9">
        <v>4652</v>
      </c>
      <c r="F9" s="11" t="s">
        <v>194</v>
      </c>
      <c r="G9">
        <v>4941</v>
      </c>
    </row>
    <row r="10" spans="1:7" x14ac:dyDescent="0.25">
      <c r="A10" s="11" t="s">
        <v>194</v>
      </c>
      <c r="B10">
        <v>4941</v>
      </c>
      <c r="F10" s="11" t="s">
        <v>196</v>
      </c>
      <c r="G10">
        <v>4780</v>
      </c>
    </row>
    <row r="11" spans="1:7" x14ac:dyDescent="0.25">
      <c r="A11" s="11" t="s">
        <v>196</v>
      </c>
      <c r="B11">
        <v>4780</v>
      </c>
    </row>
    <row r="12" spans="1:7" x14ac:dyDescent="0.25">
      <c r="A12" s="11" t="s">
        <v>20</v>
      </c>
      <c r="B12">
        <v>38688</v>
      </c>
    </row>
  </sheetData>
  <pageMargins left="0.7" right="0.7" top="0.75" bottom="0.75" header="0.3" footer="0.3"/>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9C1AB-BBEF-4A09-96B1-A6E232F4E54B}">
  <sheetPr codeName="Sheet18"/>
  <dimension ref="A3:C9"/>
  <sheetViews>
    <sheetView workbookViewId="0">
      <selection activeCell="O13" sqref="O13"/>
    </sheetView>
  </sheetViews>
  <sheetFormatPr defaultRowHeight="15" x14ac:dyDescent="0.25"/>
  <cols>
    <col min="1" max="1" width="13.42578125" bestFit="1" customWidth="1"/>
    <col min="2" max="2" width="24.140625" bestFit="1" customWidth="1"/>
    <col min="3" max="3" width="21" bestFit="1" customWidth="1"/>
  </cols>
  <sheetData>
    <row r="3" spans="1:3" x14ac:dyDescent="0.25">
      <c r="A3" s="10" t="s">
        <v>19</v>
      </c>
      <c r="B3" t="s">
        <v>203</v>
      </c>
      <c r="C3" t="s">
        <v>206</v>
      </c>
    </row>
    <row r="4" spans="1:3" x14ac:dyDescent="0.25">
      <c r="A4" s="11">
        <v>2020</v>
      </c>
      <c r="B4">
        <v>26881</v>
      </c>
      <c r="C4">
        <v>7409</v>
      </c>
    </row>
    <row r="5" spans="1:3" x14ac:dyDescent="0.25">
      <c r="A5" s="11">
        <v>2021</v>
      </c>
      <c r="B5">
        <v>27946</v>
      </c>
      <c r="C5">
        <v>8219</v>
      </c>
    </row>
    <row r="6" spans="1:3" x14ac:dyDescent="0.25">
      <c r="A6" s="11">
        <v>2022</v>
      </c>
      <c r="B6">
        <v>27662</v>
      </c>
      <c r="C6">
        <v>7686</v>
      </c>
    </row>
    <row r="7" spans="1:3" x14ac:dyDescent="0.25">
      <c r="A7" s="11">
        <v>2023</v>
      </c>
      <c r="B7">
        <v>27355</v>
      </c>
      <c r="C7">
        <v>7585</v>
      </c>
    </row>
    <row r="8" spans="1:3" x14ac:dyDescent="0.25">
      <c r="A8" s="11">
        <v>2024</v>
      </c>
      <c r="B8">
        <v>25456</v>
      </c>
      <c r="C8">
        <v>7789</v>
      </c>
    </row>
    <row r="9" spans="1:3" x14ac:dyDescent="0.25">
      <c r="A9" s="11" t="s">
        <v>20</v>
      </c>
      <c r="B9">
        <v>135300</v>
      </c>
      <c r="C9">
        <v>38688</v>
      </c>
    </row>
  </sheetData>
  <pageMargins left="0.7" right="0.7" top="0.75" bottom="0.75" header="0.3" footer="0.3"/>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EB95C1-FB74-49C4-885E-F89804883FE6}">
  <sheetPr codeName="Sheet19"/>
  <dimension ref="A3:B6"/>
  <sheetViews>
    <sheetView workbookViewId="0">
      <selection activeCell="N10" sqref="N10"/>
    </sheetView>
  </sheetViews>
  <sheetFormatPr defaultRowHeight="15" x14ac:dyDescent="0.25"/>
  <cols>
    <col min="1" max="1" width="13.42578125" bestFit="1" customWidth="1"/>
    <col min="2" max="2" width="21" bestFit="1" customWidth="1"/>
  </cols>
  <sheetData>
    <row r="3" spans="1:2" x14ac:dyDescent="0.25">
      <c r="A3" s="10" t="s">
        <v>19</v>
      </c>
      <c r="B3" t="s">
        <v>206</v>
      </c>
    </row>
    <row r="4" spans="1:2" x14ac:dyDescent="0.25">
      <c r="A4" s="11" t="s">
        <v>190</v>
      </c>
      <c r="B4">
        <v>19534</v>
      </c>
    </row>
    <row r="5" spans="1:2" x14ac:dyDescent="0.25">
      <c r="A5" s="11" t="s">
        <v>188</v>
      </c>
      <c r="B5">
        <v>19154</v>
      </c>
    </row>
    <row r="6" spans="1:2" x14ac:dyDescent="0.25">
      <c r="A6" s="11" t="s">
        <v>20</v>
      </c>
      <c r="B6">
        <v>38688</v>
      </c>
    </row>
  </sheetData>
  <pageMargins left="0.7" right="0.7" top="0.75" bottom="0.75" header="0.3" footer="0.3"/>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7BEDF-221F-4BB1-B0A7-1721FB206A73}">
  <sheetPr codeName="Sheet20"/>
  <dimension ref="A3:B12"/>
  <sheetViews>
    <sheetView workbookViewId="0">
      <selection activeCell="R13" sqref="R13"/>
    </sheetView>
  </sheetViews>
  <sheetFormatPr defaultRowHeight="15" x14ac:dyDescent="0.25"/>
  <cols>
    <col min="1" max="1" width="18" bestFit="1" customWidth="1"/>
    <col min="2" max="2" width="21" bestFit="1" customWidth="1"/>
  </cols>
  <sheetData>
    <row r="3" spans="1:2" x14ac:dyDescent="0.25">
      <c r="A3" s="10" t="s">
        <v>19</v>
      </c>
      <c r="B3" t="s">
        <v>206</v>
      </c>
    </row>
    <row r="4" spans="1:2" x14ac:dyDescent="0.25">
      <c r="A4" s="11" t="s">
        <v>199</v>
      </c>
      <c r="B4">
        <v>5011</v>
      </c>
    </row>
    <row r="5" spans="1:2" x14ac:dyDescent="0.25">
      <c r="A5" s="11" t="s">
        <v>200</v>
      </c>
      <c r="B5">
        <v>5036</v>
      </c>
    </row>
    <row r="6" spans="1:2" x14ac:dyDescent="0.25">
      <c r="A6" s="11" t="s">
        <v>197</v>
      </c>
      <c r="B6">
        <v>4531</v>
      </c>
    </row>
    <row r="7" spans="1:2" x14ac:dyDescent="0.25">
      <c r="A7" s="11" t="s">
        <v>181</v>
      </c>
      <c r="B7">
        <v>4562</v>
      </c>
    </row>
    <row r="8" spans="1:2" x14ac:dyDescent="0.25">
      <c r="A8" s="11" t="s">
        <v>201</v>
      </c>
      <c r="B8">
        <v>4781</v>
      </c>
    </row>
    <row r="9" spans="1:2" x14ac:dyDescent="0.25">
      <c r="A9" s="11" t="s">
        <v>182</v>
      </c>
      <c r="B9">
        <v>5041</v>
      </c>
    </row>
    <row r="10" spans="1:2" x14ac:dyDescent="0.25">
      <c r="A10" s="11" t="s">
        <v>198</v>
      </c>
      <c r="B10">
        <v>5031</v>
      </c>
    </row>
    <row r="11" spans="1:2" x14ac:dyDescent="0.25">
      <c r="A11" s="11" t="s">
        <v>202</v>
      </c>
      <c r="B11">
        <v>4695</v>
      </c>
    </row>
    <row r="12" spans="1:2" x14ac:dyDescent="0.25">
      <c r="A12" s="11" t="s">
        <v>20</v>
      </c>
      <c r="B12">
        <v>38688</v>
      </c>
    </row>
  </sheetData>
  <pageMargins left="0.7" right="0.7" top="0.75" bottom="0.75" header="0.3" footer="0.3"/>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E090E-3DFC-4CAE-B76E-FDE62B72FF5C}">
  <sheetPr codeName="Sheet61"/>
  <dimension ref="A1:H41"/>
  <sheetViews>
    <sheetView workbookViewId="0">
      <selection activeCell="H1" sqref="H1:H1048576"/>
    </sheetView>
  </sheetViews>
  <sheetFormatPr defaultRowHeight="15" x14ac:dyDescent="0.25"/>
  <cols>
    <col min="7" max="7" width="11.85546875" bestFit="1" customWidth="1"/>
  </cols>
  <sheetData>
    <row r="1" spans="1:8" x14ac:dyDescent="0.25">
      <c r="A1" t="s">
        <v>24</v>
      </c>
      <c r="B1" t="s">
        <v>25</v>
      </c>
      <c r="C1" t="s">
        <v>26</v>
      </c>
      <c r="D1" t="s">
        <v>3</v>
      </c>
      <c r="E1" t="s">
        <v>27</v>
      </c>
      <c r="F1" t="s">
        <v>28</v>
      </c>
      <c r="G1" t="s">
        <v>29</v>
      </c>
      <c r="H1" t="s">
        <v>30</v>
      </c>
    </row>
    <row r="2" spans="1:8" x14ac:dyDescent="0.25">
      <c r="A2" t="s">
        <v>31</v>
      </c>
      <c r="B2" s="13">
        <v>45352</v>
      </c>
      <c r="C2" t="s">
        <v>32</v>
      </c>
      <c r="D2">
        <v>2</v>
      </c>
      <c r="E2">
        <v>15.99</v>
      </c>
      <c r="F2">
        <v>31.98</v>
      </c>
      <c r="G2" t="s">
        <v>33</v>
      </c>
      <c r="H2" t="s">
        <v>34</v>
      </c>
    </row>
    <row r="3" spans="1:8" x14ac:dyDescent="0.25">
      <c r="A3" t="s">
        <v>35</v>
      </c>
      <c r="B3" s="13">
        <v>45353</v>
      </c>
      <c r="C3" t="s">
        <v>36</v>
      </c>
      <c r="D3">
        <v>1</v>
      </c>
      <c r="E3">
        <v>45.5</v>
      </c>
      <c r="F3">
        <v>45.5</v>
      </c>
      <c r="G3" t="s">
        <v>37</v>
      </c>
      <c r="H3" t="s">
        <v>38</v>
      </c>
    </row>
    <row r="4" spans="1:8" x14ac:dyDescent="0.25">
      <c r="A4" t="s">
        <v>39</v>
      </c>
      <c r="B4" s="13">
        <v>45353</v>
      </c>
      <c r="C4" t="s">
        <v>40</v>
      </c>
      <c r="D4">
        <v>3</v>
      </c>
      <c r="E4">
        <v>12</v>
      </c>
      <c r="F4">
        <v>36</v>
      </c>
      <c r="G4" t="s">
        <v>41</v>
      </c>
      <c r="H4" t="s">
        <v>42</v>
      </c>
    </row>
    <row r="5" spans="1:8" x14ac:dyDescent="0.25">
      <c r="A5" t="s">
        <v>43</v>
      </c>
      <c r="B5" s="13">
        <v>45354</v>
      </c>
      <c r="C5" t="s">
        <v>32</v>
      </c>
      <c r="D5">
        <v>1</v>
      </c>
      <c r="E5">
        <v>15.99</v>
      </c>
      <c r="F5">
        <v>15.99</v>
      </c>
      <c r="G5" t="s">
        <v>44</v>
      </c>
      <c r="H5" t="s">
        <v>45</v>
      </c>
    </row>
    <row r="6" spans="1:8" x14ac:dyDescent="0.25">
      <c r="A6" t="s">
        <v>46</v>
      </c>
      <c r="B6" s="13">
        <v>45355</v>
      </c>
      <c r="C6" t="s">
        <v>47</v>
      </c>
      <c r="D6">
        <v>5</v>
      </c>
      <c r="E6">
        <v>8.5</v>
      </c>
      <c r="F6">
        <v>42.5</v>
      </c>
      <c r="G6" t="s">
        <v>33</v>
      </c>
      <c r="H6" t="s">
        <v>34</v>
      </c>
    </row>
    <row r="7" spans="1:8" x14ac:dyDescent="0.25">
      <c r="A7" t="s">
        <v>48</v>
      </c>
      <c r="B7" s="13">
        <v>45355</v>
      </c>
      <c r="C7" t="s">
        <v>49</v>
      </c>
      <c r="D7">
        <v>2</v>
      </c>
      <c r="E7">
        <v>22.3</v>
      </c>
      <c r="F7">
        <v>44.6</v>
      </c>
      <c r="G7" t="s">
        <v>37</v>
      </c>
      <c r="H7" t="s">
        <v>38</v>
      </c>
    </row>
    <row r="8" spans="1:8" x14ac:dyDescent="0.25">
      <c r="A8" t="s">
        <v>50</v>
      </c>
      <c r="B8" s="13">
        <v>45356</v>
      </c>
      <c r="C8" t="s">
        <v>51</v>
      </c>
      <c r="D8">
        <v>4</v>
      </c>
      <c r="E8">
        <v>10</v>
      </c>
      <c r="F8">
        <v>40</v>
      </c>
      <c r="G8" t="s">
        <v>41</v>
      </c>
      <c r="H8" t="s">
        <v>42</v>
      </c>
    </row>
    <row r="9" spans="1:8" x14ac:dyDescent="0.25">
      <c r="A9" t="s">
        <v>52</v>
      </c>
      <c r="B9" s="13">
        <v>45357</v>
      </c>
      <c r="C9" t="s">
        <v>32</v>
      </c>
      <c r="D9">
        <v>2</v>
      </c>
      <c r="E9">
        <v>15.99</v>
      </c>
      <c r="F9">
        <v>31.98</v>
      </c>
      <c r="G9" t="s">
        <v>44</v>
      </c>
      <c r="H9" t="s">
        <v>45</v>
      </c>
    </row>
    <row r="10" spans="1:8" x14ac:dyDescent="0.25">
      <c r="A10" t="s">
        <v>53</v>
      </c>
      <c r="B10" s="13">
        <v>45358</v>
      </c>
      <c r="C10" t="s">
        <v>36</v>
      </c>
      <c r="D10">
        <v>3</v>
      </c>
      <c r="E10">
        <v>45.5</v>
      </c>
      <c r="F10">
        <v>136.5</v>
      </c>
      <c r="G10" t="s">
        <v>33</v>
      </c>
      <c r="H10" t="s">
        <v>34</v>
      </c>
    </row>
    <row r="11" spans="1:8" x14ac:dyDescent="0.25">
      <c r="A11" t="s">
        <v>54</v>
      </c>
      <c r="B11" s="13">
        <v>45359</v>
      </c>
      <c r="C11" t="s">
        <v>55</v>
      </c>
      <c r="D11">
        <v>1</v>
      </c>
      <c r="E11">
        <v>60</v>
      </c>
      <c r="F11">
        <v>60</v>
      </c>
      <c r="G11" t="s">
        <v>37</v>
      </c>
      <c r="H11" t="s">
        <v>38</v>
      </c>
    </row>
    <row r="12" spans="1:8" x14ac:dyDescent="0.25">
      <c r="A12" t="s">
        <v>56</v>
      </c>
      <c r="B12" s="13">
        <v>45359</v>
      </c>
      <c r="C12" t="s">
        <v>57</v>
      </c>
      <c r="D12">
        <v>2</v>
      </c>
      <c r="E12">
        <v>5</v>
      </c>
      <c r="F12">
        <v>10</v>
      </c>
      <c r="G12" t="s">
        <v>41</v>
      </c>
      <c r="H12" t="s">
        <v>42</v>
      </c>
    </row>
    <row r="13" spans="1:8" x14ac:dyDescent="0.25">
      <c r="A13" t="s">
        <v>58</v>
      </c>
      <c r="B13" s="13">
        <v>45360</v>
      </c>
      <c r="C13" t="s">
        <v>47</v>
      </c>
      <c r="D13">
        <v>4</v>
      </c>
      <c r="E13">
        <v>8.5</v>
      </c>
      <c r="F13">
        <v>34</v>
      </c>
      <c r="G13" t="s">
        <v>44</v>
      </c>
      <c r="H13" t="s">
        <v>45</v>
      </c>
    </row>
    <row r="14" spans="1:8" x14ac:dyDescent="0.25">
      <c r="A14" t="s">
        <v>59</v>
      </c>
      <c r="B14" s="13">
        <v>45361</v>
      </c>
      <c r="C14" t="s">
        <v>60</v>
      </c>
      <c r="D14">
        <v>2</v>
      </c>
      <c r="E14">
        <v>19.989999999999998</v>
      </c>
      <c r="F14">
        <v>39.979999999999997</v>
      </c>
      <c r="G14" t="s">
        <v>33</v>
      </c>
      <c r="H14" t="s">
        <v>34</v>
      </c>
    </row>
    <row r="15" spans="1:8" x14ac:dyDescent="0.25">
      <c r="A15" t="s">
        <v>61</v>
      </c>
      <c r="B15" s="13">
        <v>45362</v>
      </c>
      <c r="C15" t="s">
        <v>62</v>
      </c>
      <c r="D15">
        <v>3</v>
      </c>
      <c r="E15">
        <v>25</v>
      </c>
      <c r="F15">
        <v>75</v>
      </c>
      <c r="G15" t="s">
        <v>37</v>
      </c>
      <c r="H15" t="s">
        <v>38</v>
      </c>
    </row>
    <row r="16" spans="1:8" x14ac:dyDescent="0.25">
      <c r="A16" t="s">
        <v>63</v>
      </c>
      <c r="B16" s="13">
        <v>45362</v>
      </c>
      <c r="C16" t="s">
        <v>40</v>
      </c>
      <c r="D16">
        <v>1</v>
      </c>
      <c r="E16">
        <v>12</v>
      </c>
      <c r="F16">
        <v>12</v>
      </c>
      <c r="G16" t="s">
        <v>41</v>
      </c>
      <c r="H16" t="s">
        <v>42</v>
      </c>
    </row>
    <row r="17" spans="1:8" x14ac:dyDescent="0.25">
      <c r="A17" t="s">
        <v>64</v>
      </c>
      <c r="B17" s="13">
        <v>45363</v>
      </c>
      <c r="C17" t="s">
        <v>51</v>
      </c>
      <c r="D17">
        <v>2</v>
      </c>
      <c r="E17">
        <v>10</v>
      </c>
      <c r="F17">
        <v>20</v>
      </c>
      <c r="G17" t="s">
        <v>44</v>
      </c>
      <c r="H17" t="s">
        <v>45</v>
      </c>
    </row>
    <row r="18" spans="1:8" x14ac:dyDescent="0.25">
      <c r="A18" t="s">
        <v>65</v>
      </c>
      <c r="B18" s="13">
        <v>45364</v>
      </c>
      <c r="C18" t="s">
        <v>49</v>
      </c>
      <c r="D18">
        <v>4</v>
      </c>
      <c r="E18">
        <v>22.3</v>
      </c>
      <c r="F18">
        <v>89.2</v>
      </c>
      <c r="G18" t="s">
        <v>33</v>
      </c>
      <c r="H18" t="s">
        <v>34</v>
      </c>
    </row>
    <row r="19" spans="1:8" x14ac:dyDescent="0.25">
      <c r="A19" t="s">
        <v>66</v>
      </c>
      <c r="B19" s="13">
        <v>45364</v>
      </c>
      <c r="C19" t="s">
        <v>32</v>
      </c>
      <c r="D19">
        <v>3</v>
      </c>
      <c r="E19">
        <v>15.99</v>
      </c>
      <c r="F19">
        <v>47.97</v>
      </c>
      <c r="G19" t="s">
        <v>37</v>
      </c>
      <c r="H19" t="s">
        <v>38</v>
      </c>
    </row>
    <row r="20" spans="1:8" x14ac:dyDescent="0.25">
      <c r="A20" t="s">
        <v>67</v>
      </c>
      <c r="B20" s="13">
        <v>45365</v>
      </c>
      <c r="C20" t="s">
        <v>57</v>
      </c>
      <c r="D20">
        <v>1</v>
      </c>
      <c r="E20">
        <v>5</v>
      </c>
      <c r="F20">
        <v>5</v>
      </c>
      <c r="G20" t="s">
        <v>41</v>
      </c>
      <c r="H20" t="s">
        <v>42</v>
      </c>
    </row>
    <row r="21" spans="1:8" x14ac:dyDescent="0.25">
      <c r="A21" t="s">
        <v>68</v>
      </c>
      <c r="B21" s="13">
        <v>45366</v>
      </c>
      <c r="C21" t="s">
        <v>62</v>
      </c>
      <c r="D21">
        <v>2</v>
      </c>
      <c r="E21">
        <v>25</v>
      </c>
      <c r="F21">
        <v>50</v>
      </c>
      <c r="G21" t="s">
        <v>44</v>
      </c>
      <c r="H21" t="s">
        <v>45</v>
      </c>
    </row>
    <row r="22" spans="1:8" x14ac:dyDescent="0.25">
      <c r="A22" t="s">
        <v>69</v>
      </c>
      <c r="B22" s="13">
        <v>45366</v>
      </c>
      <c r="C22" t="s">
        <v>36</v>
      </c>
      <c r="D22">
        <v>2</v>
      </c>
      <c r="E22">
        <v>45.5</v>
      </c>
      <c r="F22">
        <v>91</v>
      </c>
      <c r="G22" t="s">
        <v>33</v>
      </c>
      <c r="H22" t="s">
        <v>34</v>
      </c>
    </row>
    <row r="23" spans="1:8" x14ac:dyDescent="0.25">
      <c r="A23" t="s">
        <v>70</v>
      </c>
      <c r="B23" s="13">
        <v>45367</v>
      </c>
      <c r="C23" t="s">
        <v>60</v>
      </c>
      <c r="D23">
        <v>3</v>
      </c>
      <c r="E23">
        <v>19.989999999999998</v>
      </c>
      <c r="F23">
        <v>59.97</v>
      </c>
      <c r="G23" t="s">
        <v>37</v>
      </c>
      <c r="H23" t="s">
        <v>38</v>
      </c>
    </row>
    <row r="24" spans="1:8" x14ac:dyDescent="0.25">
      <c r="A24" t="s">
        <v>71</v>
      </c>
      <c r="B24" s="13">
        <v>45368</v>
      </c>
      <c r="C24" t="s">
        <v>55</v>
      </c>
      <c r="D24">
        <v>1</v>
      </c>
      <c r="E24">
        <v>60</v>
      </c>
      <c r="F24">
        <v>60</v>
      </c>
      <c r="G24" t="s">
        <v>41</v>
      </c>
      <c r="H24" t="s">
        <v>42</v>
      </c>
    </row>
    <row r="25" spans="1:8" x14ac:dyDescent="0.25">
      <c r="A25" t="s">
        <v>72</v>
      </c>
      <c r="B25" s="13">
        <v>45368</v>
      </c>
      <c r="C25" t="s">
        <v>51</v>
      </c>
      <c r="D25">
        <v>3</v>
      </c>
      <c r="E25">
        <v>10</v>
      </c>
      <c r="F25">
        <v>30</v>
      </c>
      <c r="G25" t="s">
        <v>44</v>
      </c>
      <c r="H25" t="s">
        <v>45</v>
      </c>
    </row>
    <row r="26" spans="1:8" x14ac:dyDescent="0.25">
      <c r="A26" t="s">
        <v>73</v>
      </c>
      <c r="B26" s="13">
        <v>45369</v>
      </c>
      <c r="C26" t="s">
        <v>40</v>
      </c>
      <c r="D26">
        <v>2</v>
      </c>
      <c r="E26">
        <v>12</v>
      </c>
      <c r="F26">
        <v>24</v>
      </c>
      <c r="G26" t="s">
        <v>33</v>
      </c>
      <c r="H26" t="s">
        <v>34</v>
      </c>
    </row>
    <row r="27" spans="1:8" x14ac:dyDescent="0.25">
      <c r="A27" t="s">
        <v>74</v>
      </c>
      <c r="B27" s="13">
        <v>45369</v>
      </c>
      <c r="C27" t="s">
        <v>47</v>
      </c>
      <c r="D27">
        <v>5</v>
      </c>
      <c r="E27">
        <v>8.5</v>
      </c>
      <c r="F27">
        <v>42.5</v>
      </c>
      <c r="G27" t="s">
        <v>37</v>
      </c>
      <c r="H27" t="s">
        <v>38</v>
      </c>
    </row>
    <row r="28" spans="1:8" x14ac:dyDescent="0.25">
      <c r="A28" t="s">
        <v>75</v>
      </c>
      <c r="B28" s="13">
        <v>45370</v>
      </c>
      <c r="C28" t="s">
        <v>62</v>
      </c>
      <c r="D28">
        <v>1</v>
      </c>
      <c r="E28">
        <v>25</v>
      </c>
      <c r="F28">
        <v>25</v>
      </c>
      <c r="G28" t="s">
        <v>41</v>
      </c>
      <c r="H28" t="s">
        <v>42</v>
      </c>
    </row>
    <row r="29" spans="1:8" x14ac:dyDescent="0.25">
      <c r="A29" t="s">
        <v>76</v>
      </c>
      <c r="B29" s="13">
        <v>45371</v>
      </c>
      <c r="C29" t="s">
        <v>32</v>
      </c>
      <c r="D29">
        <v>2</v>
      </c>
      <c r="E29">
        <v>15.99</v>
      </c>
      <c r="F29">
        <v>31.98</v>
      </c>
      <c r="G29" t="s">
        <v>44</v>
      </c>
      <c r="H29" t="s">
        <v>45</v>
      </c>
    </row>
    <row r="30" spans="1:8" x14ac:dyDescent="0.25">
      <c r="A30" t="s">
        <v>77</v>
      </c>
      <c r="B30" s="13">
        <v>45371</v>
      </c>
      <c r="C30" t="s">
        <v>49</v>
      </c>
      <c r="D30">
        <v>3</v>
      </c>
      <c r="E30">
        <v>22.3</v>
      </c>
      <c r="F30">
        <v>66.900000000000006</v>
      </c>
      <c r="G30" t="s">
        <v>33</v>
      </c>
      <c r="H30" t="s">
        <v>34</v>
      </c>
    </row>
    <row r="31" spans="1:8" x14ac:dyDescent="0.25">
      <c r="A31" t="s">
        <v>78</v>
      </c>
      <c r="B31" s="13">
        <v>45372</v>
      </c>
      <c r="C31" t="s">
        <v>36</v>
      </c>
      <c r="D31">
        <v>1</v>
      </c>
      <c r="E31">
        <v>45.5</v>
      </c>
      <c r="F31">
        <v>45.5</v>
      </c>
      <c r="G31" t="s">
        <v>37</v>
      </c>
      <c r="H31" t="s">
        <v>38</v>
      </c>
    </row>
    <row r="32" spans="1:8" x14ac:dyDescent="0.25">
      <c r="A32" t="s">
        <v>79</v>
      </c>
      <c r="B32" s="13">
        <v>45372</v>
      </c>
      <c r="C32" t="s">
        <v>40</v>
      </c>
      <c r="D32">
        <v>4</v>
      </c>
      <c r="E32">
        <v>12</v>
      </c>
      <c r="F32">
        <v>48</v>
      </c>
      <c r="G32" t="s">
        <v>41</v>
      </c>
      <c r="H32" t="s">
        <v>42</v>
      </c>
    </row>
    <row r="33" spans="1:8" x14ac:dyDescent="0.25">
      <c r="A33" t="s">
        <v>80</v>
      </c>
      <c r="B33" s="13">
        <v>45373</v>
      </c>
      <c r="C33" t="s">
        <v>47</v>
      </c>
      <c r="D33">
        <v>2</v>
      </c>
      <c r="E33">
        <v>8.5</v>
      </c>
      <c r="F33">
        <v>17</v>
      </c>
      <c r="G33" t="s">
        <v>44</v>
      </c>
      <c r="H33" t="s">
        <v>45</v>
      </c>
    </row>
    <row r="34" spans="1:8" x14ac:dyDescent="0.25">
      <c r="A34" t="s">
        <v>81</v>
      </c>
      <c r="B34" s="13">
        <v>45373</v>
      </c>
      <c r="C34" t="s">
        <v>60</v>
      </c>
      <c r="D34">
        <v>1</v>
      </c>
      <c r="E34">
        <v>19.989999999999998</v>
      </c>
      <c r="F34">
        <v>19.989999999999998</v>
      </c>
      <c r="G34" t="s">
        <v>33</v>
      </c>
      <c r="H34" t="s">
        <v>34</v>
      </c>
    </row>
    <row r="35" spans="1:8" x14ac:dyDescent="0.25">
      <c r="A35" t="s">
        <v>82</v>
      </c>
      <c r="B35" s="13">
        <v>45374</v>
      </c>
      <c r="C35" t="s">
        <v>55</v>
      </c>
      <c r="D35">
        <v>2</v>
      </c>
      <c r="E35">
        <v>60</v>
      </c>
      <c r="F35">
        <v>120</v>
      </c>
      <c r="G35" t="s">
        <v>37</v>
      </c>
      <c r="H35" t="s">
        <v>38</v>
      </c>
    </row>
    <row r="36" spans="1:8" x14ac:dyDescent="0.25">
      <c r="A36" t="s">
        <v>83</v>
      </c>
      <c r="B36" s="13">
        <v>45374</v>
      </c>
      <c r="C36" t="s">
        <v>51</v>
      </c>
      <c r="D36">
        <v>1</v>
      </c>
      <c r="E36">
        <v>10</v>
      </c>
      <c r="F36">
        <v>10</v>
      </c>
      <c r="G36" t="s">
        <v>41</v>
      </c>
      <c r="H36" t="s">
        <v>42</v>
      </c>
    </row>
    <row r="37" spans="1:8" x14ac:dyDescent="0.25">
      <c r="A37" t="s">
        <v>84</v>
      </c>
      <c r="B37" s="13">
        <v>45375</v>
      </c>
      <c r="C37" t="s">
        <v>32</v>
      </c>
      <c r="D37">
        <v>3</v>
      </c>
      <c r="E37">
        <v>15.99</v>
      </c>
      <c r="F37">
        <v>47.97</v>
      </c>
      <c r="G37" t="s">
        <v>44</v>
      </c>
      <c r="H37" t="s">
        <v>45</v>
      </c>
    </row>
    <row r="38" spans="1:8" x14ac:dyDescent="0.25">
      <c r="A38" t="s">
        <v>85</v>
      </c>
      <c r="B38" s="13">
        <v>45376</v>
      </c>
      <c r="C38" t="s">
        <v>57</v>
      </c>
      <c r="D38">
        <v>4</v>
      </c>
      <c r="E38">
        <v>5</v>
      </c>
      <c r="F38">
        <v>20</v>
      </c>
      <c r="G38" t="s">
        <v>33</v>
      </c>
      <c r="H38" t="s">
        <v>34</v>
      </c>
    </row>
    <row r="39" spans="1:8" x14ac:dyDescent="0.25">
      <c r="A39" t="s">
        <v>86</v>
      </c>
      <c r="B39" s="13">
        <v>45376</v>
      </c>
      <c r="C39" t="s">
        <v>62</v>
      </c>
      <c r="D39">
        <v>2</v>
      </c>
      <c r="E39">
        <v>25</v>
      </c>
      <c r="F39">
        <v>50</v>
      </c>
      <c r="G39" t="s">
        <v>37</v>
      </c>
      <c r="H39" t="s">
        <v>38</v>
      </c>
    </row>
    <row r="40" spans="1:8" x14ac:dyDescent="0.25">
      <c r="A40" t="s">
        <v>87</v>
      </c>
      <c r="B40" s="13">
        <v>45377</v>
      </c>
      <c r="C40" t="s">
        <v>36</v>
      </c>
      <c r="D40">
        <v>2</v>
      </c>
      <c r="E40">
        <v>45.5</v>
      </c>
      <c r="F40">
        <v>91</v>
      </c>
      <c r="G40" t="s">
        <v>41</v>
      </c>
      <c r="H40" t="s">
        <v>42</v>
      </c>
    </row>
    <row r="41" spans="1:8" x14ac:dyDescent="0.25">
      <c r="A41" t="s">
        <v>88</v>
      </c>
      <c r="B41" s="13">
        <v>45377</v>
      </c>
      <c r="C41" t="s">
        <v>49</v>
      </c>
      <c r="D41">
        <v>1</v>
      </c>
      <c r="E41">
        <v>22.3</v>
      </c>
      <c r="F41">
        <v>22.3</v>
      </c>
      <c r="G41" t="s">
        <v>44</v>
      </c>
      <c r="H41" t="s">
        <v>45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6</vt:i4>
      </vt:variant>
    </vt:vector>
  </HeadingPairs>
  <TitlesOfParts>
    <vt:vector size="32" baseType="lpstr">
      <vt:lpstr>Rev Dashboard</vt:lpstr>
      <vt:lpstr>Profit Dashboard</vt:lpstr>
      <vt:lpstr>Advanced formulas &amp; Slicers</vt:lpstr>
      <vt:lpstr>Dynamic Search 1</vt:lpstr>
      <vt:lpstr>Dynamic Search 2</vt:lpstr>
      <vt:lpstr>DS2 Data</vt:lpstr>
      <vt:lpstr>Dynamic drop down &amp; LOOOKUPS</vt:lpstr>
      <vt:lpstr>VBA</vt:lpstr>
      <vt:lpstr>Pivot Table</vt:lpstr>
      <vt:lpstr>Charts with Slicers</vt:lpstr>
      <vt:lpstr>Conditional Formating</vt:lpstr>
      <vt:lpstr>Table 1</vt:lpstr>
      <vt:lpstr>Dashboard Data</vt:lpstr>
      <vt:lpstr>Year-wise Revenue</vt:lpstr>
      <vt:lpstr>Year-wise Revenue &amp; Cost</vt:lpstr>
      <vt:lpstr>Revenue by Divisions</vt:lpstr>
      <vt:lpstr>Revenue by Products</vt:lpstr>
      <vt:lpstr>Year-wise Divisional Revenue</vt:lpstr>
      <vt:lpstr>Division-wise yearly Revenue</vt:lpstr>
      <vt:lpstr>Revenue by Payment Method</vt:lpstr>
      <vt:lpstr>Profit By Year</vt:lpstr>
      <vt:lpstr>Profit by Division</vt:lpstr>
      <vt:lpstr>Year-wise Revenue &amp; Profit</vt:lpstr>
      <vt:lpstr>Profit by Order Method </vt:lpstr>
      <vt:lpstr>Profit by Product</vt:lpstr>
      <vt:lpstr>Sheet4</vt:lpstr>
      <vt:lpstr>Amount</vt:lpstr>
      <vt:lpstr>Customer_ID</vt:lpstr>
      <vt:lpstr>Name</vt:lpstr>
      <vt:lpstr>Product</vt:lpstr>
      <vt:lpstr>Product_ID</vt:lpstr>
      <vt:lpstr>Purchase_Date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Musa Ahammed Mahin</dc:creator>
  <cp:lastModifiedBy>Musa Ahammed Mahin</cp:lastModifiedBy>
  <dcterms:created xsi:type="dcterms:W3CDTF">2025-04-04T08:34:29Z</dcterms:created>
  <dcterms:modified xsi:type="dcterms:W3CDTF">2025-05-02T05:42:26Z</dcterms:modified>
</cp:coreProperties>
</file>